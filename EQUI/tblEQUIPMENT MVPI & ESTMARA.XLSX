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CCESS PV\EQUI\"/>
    </mc:Choice>
  </mc:AlternateContent>
  <xr:revisionPtr revIDLastSave="0" documentId="13_ncr:1_{38658155-97B1-43C1-B005-25E016621D4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OTAL" sheetId="89" r:id="rId1"/>
  </sheets>
  <definedNames>
    <definedName name="_xlnm._FilterDatabase" localSheetId="0" hidden="1">TOTAL!#REF!</definedName>
    <definedName name="_xlnm.Print_Titles" localSheetId="0">TOTAL!#REF!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89" l="1"/>
  <c r="F4" i="89"/>
  <c r="F5" i="89"/>
  <c r="F6" i="89"/>
  <c r="F7" i="89"/>
  <c r="F8" i="89"/>
  <c r="F9" i="89"/>
  <c r="F10" i="89"/>
  <c r="F11" i="89"/>
  <c r="F12" i="89"/>
  <c r="F13" i="89"/>
  <c r="F14" i="89"/>
  <c r="F15" i="89"/>
  <c r="F16" i="89"/>
  <c r="F17" i="89"/>
  <c r="F18" i="89"/>
  <c r="F19" i="89"/>
  <c r="F20" i="89"/>
  <c r="F21" i="89"/>
  <c r="F22" i="89"/>
  <c r="F23" i="89"/>
  <c r="F24" i="89"/>
  <c r="F25" i="89"/>
  <c r="F26" i="89"/>
  <c r="F27" i="89"/>
  <c r="F28" i="89"/>
  <c r="F29" i="89"/>
  <c r="F30" i="89"/>
  <c r="F31" i="89"/>
  <c r="F32" i="89"/>
  <c r="F33" i="89"/>
  <c r="F34" i="89"/>
  <c r="F35" i="89"/>
  <c r="F36" i="89"/>
  <c r="F37" i="89"/>
  <c r="F38" i="89"/>
  <c r="F39" i="89"/>
  <c r="F40" i="89"/>
  <c r="F41" i="89"/>
  <c r="F42" i="89"/>
  <c r="F43" i="89"/>
  <c r="F44" i="89"/>
  <c r="F45" i="89"/>
  <c r="F46" i="89"/>
  <c r="F47" i="89"/>
  <c r="F48" i="89"/>
  <c r="F49" i="89"/>
  <c r="F50" i="89"/>
  <c r="F51" i="89"/>
  <c r="F52" i="89"/>
  <c r="F53" i="89"/>
  <c r="F54" i="89"/>
  <c r="F55" i="89"/>
  <c r="F56" i="89"/>
  <c r="F57" i="89"/>
  <c r="F58" i="89"/>
  <c r="F59" i="89"/>
  <c r="F60" i="89"/>
  <c r="F61" i="89"/>
  <c r="F62" i="89"/>
  <c r="F63" i="89"/>
  <c r="F64" i="89"/>
  <c r="F65" i="89"/>
  <c r="F66" i="89"/>
  <c r="F67" i="89"/>
  <c r="F68" i="89"/>
  <c r="F69" i="89"/>
  <c r="F70" i="89"/>
  <c r="F71" i="89"/>
  <c r="F72" i="89"/>
  <c r="F73" i="89"/>
  <c r="F74" i="89"/>
  <c r="F75" i="89"/>
  <c r="F76" i="89"/>
  <c r="F77" i="89"/>
  <c r="F78" i="89"/>
  <c r="F79" i="89"/>
  <c r="F80" i="89"/>
  <c r="F81" i="89"/>
  <c r="F82" i="89"/>
  <c r="F83" i="89"/>
  <c r="F84" i="89"/>
  <c r="F85" i="89"/>
  <c r="F86" i="89"/>
  <c r="F87" i="89"/>
  <c r="F88" i="89"/>
  <c r="F89" i="89"/>
  <c r="F90" i="89"/>
  <c r="F91" i="89"/>
  <c r="F92" i="89"/>
  <c r="F93" i="89"/>
  <c r="F94" i="89"/>
  <c r="F95" i="89"/>
  <c r="F96" i="89"/>
  <c r="F97" i="89"/>
  <c r="F98" i="89"/>
  <c r="F99" i="89"/>
  <c r="F100" i="89"/>
  <c r="F101" i="89"/>
  <c r="F102" i="89"/>
  <c r="F103" i="89"/>
  <c r="F104" i="89"/>
  <c r="F105" i="89"/>
  <c r="F106" i="89"/>
  <c r="F107" i="89"/>
  <c r="F108" i="89"/>
  <c r="F109" i="89"/>
  <c r="F110" i="89"/>
  <c r="F111" i="89"/>
  <c r="F112" i="89"/>
  <c r="F113" i="89"/>
  <c r="F114" i="89"/>
  <c r="F115" i="89"/>
  <c r="F116" i="89"/>
  <c r="F117" i="89"/>
  <c r="F118" i="89"/>
  <c r="F2" i="89"/>
  <c r="D3" i="89"/>
  <c r="D4" i="89"/>
  <c r="D5" i="89"/>
  <c r="D6" i="89"/>
  <c r="D7" i="89"/>
  <c r="D8" i="89"/>
  <c r="D9" i="89"/>
  <c r="D10" i="89"/>
  <c r="D11" i="89"/>
  <c r="D12" i="89"/>
  <c r="D13" i="89"/>
  <c r="D14" i="89"/>
  <c r="D15" i="89"/>
  <c r="D16" i="89"/>
  <c r="D17" i="89"/>
  <c r="D18" i="89"/>
  <c r="D19" i="89"/>
  <c r="D20" i="89"/>
  <c r="D21" i="89"/>
  <c r="D22" i="89"/>
  <c r="D23" i="89"/>
  <c r="D24" i="89"/>
  <c r="D25" i="89"/>
  <c r="D26" i="89"/>
  <c r="D27" i="89"/>
  <c r="D28" i="89"/>
  <c r="D29" i="89"/>
  <c r="D30" i="89"/>
  <c r="D31" i="89"/>
  <c r="D32" i="89"/>
  <c r="D33" i="89"/>
  <c r="D34" i="89"/>
  <c r="D35" i="89"/>
  <c r="D36" i="89"/>
  <c r="D37" i="89"/>
  <c r="D38" i="89"/>
  <c r="D39" i="89"/>
  <c r="D40" i="89"/>
  <c r="D41" i="89"/>
  <c r="D42" i="89"/>
  <c r="D43" i="89"/>
  <c r="D44" i="89"/>
  <c r="D45" i="89"/>
  <c r="D46" i="89"/>
  <c r="D47" i="89"/>
  <c r="D48" i="89"/>
  <c r="D49" i="89"/>
  <c r="D50" i="89"/>
  <c r="D51" i="89"/>
  <c r="D52" i="89"/>
  <c r="D53" i="89"/>
  <c r="D54" i="89"/>
  <c r="D55" i="89"/>
  <c r="D56" i="89"/>
  <c r="D57" i="89"/>
  <c r="D58" i="89"/>
  <c r="D59" i="89"/>
  <c r="D60" i="89"/>
  <c r="D61" i="89"/>
  <c r="D62" i="89"/>
  <c r="D63" i="89"/>
  <c r="D64" i="89"/>
  <c r="D65" i="89"/>
  <c r="D66" i="89"/>
  <c r="D67" i="89"/>
  <c r="D68" i="89"/>
  <c r="D69" i="89"/>
  <c r="D70" i="89"/>
  <c r="D71" i="89"/>
  <c r="D72" i="89"/>
  <c r="D73" i="89"/>
  <c r="D74" i="89"/>
  <c r="D75" i="89"/>
  <c r="D76" i="89"/>
  <c r="D77" i="89"/>
  <c r="D78" i="89"/>
  <c r="D79" i="89"/>
  <c r="D80" i="89"/>
  <c r="D81" i="89"/>
  <c r="D82" i="89"/>
  <c r="D83" i="89"/>
  <c r="D84" i="89"/>
  <c r="D85" i="89"/>
  <c r="D86" i="89"/>
  <c r="D87" i="89"/>
  <c r="D88" i="89"/>
  <c r="D89" i="89"/>
  <c r="D90" i="89"/>
  <c r="D91" i="89"/>
  <c r="D92" i="89"/>
  <c r="D93" i="89"/>
  <c r="D94" i="89"/>
  <c r="D95" i="89"/>
  <c r="D96" i="89"/>
  <c r="D97" i="89"/>
  <c r="D98" i="89"/>
  <c r="D99" i="89"/>
  <c r="D100" i="89"/>
  <c r="D101" i="89"/>
  <c r="D102" i="89"/>
  <c r="D103" i="89"/>
  <c r="D104" i="89"/>
  <c r="D105" i="89"/>
  <c r="D106" i="89"/>
  <c r="D107" i="89"/>
  <c r="D108" i="89"/>
  <c r="D109" i="89"/>
  <c r="D110" i="89"/>
  <c r="D111" i="89"/>
  <c r="D112" i="89"/>
  <c r="D113" i="89"/>
  <c r="D114" i="89"/>
  <c r="D115" i="89"/>
  <c r="D116" i="89"/>
  <c r="D117" i="89"/>
  <c r="D118" i="89"/>
  <c r="D2" i="89"/>
</calcChain>
</file>

<file path=xl/sharedStrings.xml><?xml version="1.0" encoding="utf-8"?>
<sst xmlns="http://schemas.openxmlformats.org/spreadsheetml/2006/main" count="159" uniqueCount="126">
  <si>
    <t>12X26</t>
  </si>
  <si>
    <t>12X27</t>
  </si>
  <si>
    <t>12X30</t>
  </si>
  <si>
    <t>12X32</t>
  </si>
  <si>
    <t>12X33</t>
  </si>
  <si>
    <t>16X55</t>
  </si>
  <si>
    <t>16X56</t>
  </si>
  <si>
    <t>17X52</t>
  </si>
  <si>
    <t>17X53</t>
  </si>
  <si>
    <t>22X20</t>
  </si>
  <si>
    <t>22X21</t>
  </si>
  <si>
    <t>8X14</t>
  </si>
  <si>
    <t>S/N</t>
  </si>
  <si>
    <t>17X56</t>
  </si>
  <si>
    <t>21X3</t>
  </si>
  <si>
    <t>21X12</t>
  </si>
  <si>
    <t>21X13</t>
  </si>
  <si>
    <t>12X13</t>
  </si>
  <si>
    <t>12X14</t>
  </si>
  <si>
    <t>12X16</t>
  </si>
  <si>
    <t>12X17</t>
  </si>
  <si>
    <t>12X23</t>
  </si>
  <si>
    <t>12X25</t>
  </si>
  <si>
    <t>12X29</t>
  </si>
  <si>
    <t>12X31</t>
  </si>
  <si>
    <t>11X10</t>
  </si>
  <si>
    <t>11X22</t>
  </si>
  <si>
    <t>11X28</t>
  </si>
  <si>
    <t>11X29</t>
  </si>
  <si>
    <t>12X2</t>
  </si>
  <si>
    <t>12X22</t>
  </si>
  <si>
    <t>9X2</t>
  </si>
  <si>
    <t>9X5</t>
  </si>
  <si>
    <t>9X6</t>
  </si>
  <si>
    <t>9X7</t>
  </si>
  <si>
    <t>9X8</t>
  </si>
  <si>
    <t>9X9</t>
  </si>
  <si>
    <t>9X18</t>
  </si>
  <si>
    <t>9X19</t>
  </si>
  <si>
    <t>22X6</t>
  </si>
  <si>
    <t>22X8</t>
  </si>
  <si>
    <t>22X15</t>
  </si>
  <si>
    <t>22X17</t>
  </si>
  <si>
    <t>22X18</t>
  </si>
  <si>
    <t>22X19</t>
  </si>
  <si>
    <t>8X8</t>
  </si>
  <si>
    <t>8X11</t>
  </si>
  <si>
    <t>8X12</t>
  </si>
  <si>
    <t>5X74</t>
  </si>
  <si>
    <t>5X78</t>
  </si>
  <si>
    <t>5X87</t>
  </si>
  <si>
    <t>5X95</t>
  </si>
  <si>
    <t>5X96</t>
  </si>
  <si>
    <t>5X98</t>
  </si>
  <si>
    <t>5X100</t>
  </si>
  <si>
    <t>5X101</t>
  </si>
  <si>
    <t>5X115</t>
  </si>
  <si>
    <t>5X119</t>
  </si>
  <si>
    <t>5X131</t>
  </si>
  <si>
    <t>5X136</t>
  </si>
  <si>
    <t>5X146</t>
  </si>
  <si>
    <t>5X92</t>
  </si>
  <si>
    <t>5X93</t>
  </si>
  <si>
    <t>5X134</t>
  </si>
  <si>
    <t>5X135</t>
  </si>
  <si>
    <t>5X138</t>
  </si>
  <si>
    <t>5X139</t>
  </si>
  <si>
    <t>5x141</t>
  </si>
  <si>
    <t>5X144</t>
  </si>
  <si>
    <t>5X148</t>
  </si>
  <si>
    <t>5X149</t>
  </si>
  <si>
    <t>5X150</t>
  </si>
  <si>
    <t>5X154</t>
  </si>
  <si>
    <t>5X157</t>
  </si>
  <si>
    <t>5X158</t>
  </si>
  <si>
    <t>PV 227</t>
  </si>
  <si>
    <t>PV 233</t>
  </si>
  <si>
    <t>DOOR NO.</t>
  </si>
  <si>
    <t>PV-016</t>
  </si>
  <si>
    <t>PV-017</t>
  </si>
  <si>
    <t>PV 423</t>
  </si>
  <si>
    <t>PV- 004</t>
  </si>
  <si>
    <t>PV-409</t>
  </si>
  <si>
    <t>PV-413</t>
  </si>
  <si>
    <t>PV-415</t>
  </si>
  <si>
    <t>PV 418</t>
  </si>
  <si>
    <t>PV-425</t>
  </si>
  <si>
    <t>PV-426</t>
  </si>
  <si>
    <t>PV-427</t>
  </si>
  <si>
    <t>PV-428</t>
  </si>
  <si>
    <t>PV -234</t>
  </si>
  <si>
    <t>PV -235</t>
  </si>
  <si>
    <t>PV -237</t>
  </si>
  <si>
    <t>PV-245</t>
  </si>
  <si>
    <t>PV-246</t>
  </si>
  <si>
    <t>8X10</t>
  </si>
  <si>
    <t>PV-001</t>
  </si>
  <si>
    <t>PV-002</t>
  </si>
  <si>
    <t>PV-003</t>
  </si>
  <si>
    <t>PV-006</t>
  </si>
  <si>
    <t>PV-007</t>
  </si>
  <si>
    <t>PV-008</t>
  </si>
  <si>
    <t>PV-009</t>
  </si>
  <si>
    <t>PV-014</t>
  </si>
  <si>
    <t>PV 408</t>
  </si>
  <si>
    <t>PV 414</t>
  </si>
  <si>
    <t>PV 417</t>
  </si>
  <si>
    <t>PV 411</t>
  </si>
  <si>
    <t>PV-410</t>
  </si>
  <si>
    <t>PV10-001</t>
  </si>
  <si>
    <t>PV10-002</t>
  </si>
  <si>
    <t>PV10-003</t>
  </si>
  <si>
    <t>PV10-004</t>
  </si>
  <si>
    <t>PV10-005</t>
  </si>
  <si>
    <t>PV10-006</t>
  </si>
  <si>
    <t>PV10-007</t>
  </si>
  <si>
    <t>PV10-008</t>
  </si>
  <si>
    <t>PV10-009</t>
  </si>
  <si>
    <t>PV10-010</t>
  </si>
  <si>
    <t>new</t>
  </si>
  <si>
    <t>no</t>
  </si>
  <si>
    <t>N/A</t>
  </si>
  <si>
    <t>MVPI EXPIRE DATE HIGRI</t>
  </si>
  <si>
    <t>MVPI EXPIRE DATE AD</t>
  </si>
  <si>
    <t>ESTMARA EXPIRE DATE HIGRI</t>
  </si>
  <si>
    <t>ESTMARA EXPIRE DATE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</si>
</sst>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860000]B2d/mm/yyyy;@"/>
  </numFmts>
  <fonts count="12" x14ac:knownFonts="1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12"/>
      <name val="Traditional Arabic"/>
      <family val="1"/>
    </font>
    <font>
      <sz val="12"/>
      <color indexed="8"/>
      <name val="Traditional Arabic"/>
      <family val="1"/>
    </font>
    <font>
      <sz val="12"/>
      <color indexed="8"/>
      <name val="Traditional Arabic"/>
    </font>
    <font>
      <b/>
      <sz val="11"/>
      <color theme="0"/>
      <name val="Calibri"/>
      <family val="2"/>
      <charset val="178"/>
      <scheme val="minor"/>
    </font>
    <font>
      <b/>
      <sz val="11"/>
      <color rgb="FF00B050"/>
      <name val="Calibri"/>
      <family val="2"/>
      <charset val="178"/>
      <scheme val="minor"/>
    </font>
    <font>
      <b/>
      <sz val="11"/>
      <color rgb="FFFF0000"/>
      <name val="Calibri"/>
      <family val="2"/>
      <charset val="178"/>
      <scheme val="minor"/>
    </font>
    <font>
      <sz val="12"/>
      <color theme="1"/>
      <name val="Traditional Arabic"/>
      <family val="1"/>
    </font>
    <font>
      <b/>
      <sz val="12"/>
      <color theme="0"/>
      <name val="Traditional Arabic"/>
      <family val="1"/>
    </font>
    <font>
      <b/>
      <sz val="12"/>
      <color theme="0"/>
      <name val="Traditional Arabic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6" fillId="2" borderId="1" applyNumberFormat="0" applyAlignment="0" applyProtection="0"/>
  </cellStyleXfs>
  <cellXfs count="19">
    <xf numFmtId="0" fontId="0" fillId="0" borderId="0" xfId="0"/>
    <xf numFmtId="0" fontId="3" fillId="0" borderId="0" xfId="1" applyFont="1" applyFill="1" applyBorder="1" applyAlignment="1">
      <alignment horizontal="center"/>
    </xf>
    <xf numFmtId="0" fontId="10" fillId="0" borderId="0" xfId="1" applyNumberFormat="1" applyFont="1" applyFill="1" applyBorder="1" applyAlignment="1">
      <alignment horizontal="center"/>
    </xf>
    <xf numFmtId="0" fontId="11" fillId="0" borderId="0" xfId="1" applyNumberFormat="1" applyFont="1" applyFill="1" applyBorder="1" applyAlignment="1">
      <alignment horizontal="center"/>
    </xf>
    <xf numFmtId="0" fontId="4" fillId="0" borderId="2" xfId="2" applyNumberFormat="1" applyFont="1" applyFill="1" applyBorder="1" applyAlignment="1">
      <alignment horizontal="center" wrapText="1"/>
    </xf>
    <xf numFmtId="0" fontId="5" fillId="0" borderId="2" xfId="2" applyNumberFormat="1" applyFont="1" applyFill="1" applyBorder="1" applyAlignment="1">
      <alignment horizontal="center" wrapText="1"/>
    </xf>
    <xf numFmtId="0" fontId="3" fillId="0" borderId="2" xfId="2" applyNumberFormat="1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center"/>
    </xf>
    <xf numFmtId="0" fontId="11" fillId="0" borderId="4" xfId="1" applyNumberFormat="1" applyFont="1" applyFill="1" applyBorder="1" applyAlignment="1">
      <alignment horizontal="center"/>
    </xf>
    <xf numFmtId="164" fontId="11" fillId="0" borderId="0" xfId="1" applyNumberFormat="1" applyFont="1" applyFill="1" applyBorder="1" applyAlignment="1">
      <alignment horizontal="center"/>
    </xf>
    <xf numFmtId="164" fontId="5" fillId="0" borderId="2" xfId="2" applyNumberFormat="1" applyFont="1" applyFill="1" applyBorder="1" applyAlignment="1">
      <alignment horizontal="center" wrapText="1"/>
    </xf>
    <xf numFmtId="164" fontId="7" fillId="0" borderId="2" xfId="3" applyNumberFormat="1" applyFont="1" applyFill="1" applyBorder="1" applyAlignment="1">
      <alignment horizontal="center" vertical="center"/>
    </xf>
    <xf numFmtId="164" fontId="8" fillId="0" borderId="2" xfId="3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/>
    </xf>
    <xf numFmtId="164" fontId="11" fillId="0" borderId="4" xfId="1" applyNumberFormat="1" applyFont="1" applyFill="1" applyBorder="1" applyAlignment="1">
      <alignment horizontal="center"/>
    </xf>
    <xf numFmtId="164" fontId="7" fillId="0" borderId="3" xfId="3" applyNumberFormat="1" applyFont="1" applyFill="1" applyBorder="1" applyAlignment="1">
      <alignment horizontal="center" vertical="center"/>
    </xf>
    <xf numFmtId="164" fontId="8" fillId="0" borderId="3" xfId="3" applyNumberFormat="1" applyFont="1" applyFill="1" applyBorder="1" applyAlignment="1">
      <alignment horizontal="center" vertical="center"/>
    </xf>
    <xf numFmtId="164" fontId="9" fillId="0" borderId="3" xfId="2" applyNumberFormat="1" applyFont="1" applyFill="1" applyBorder="1" applyAlignment="1">
      <alignment horizontal="center" wrapText="1"/>
    </xf>
    <xf numFmtId="164" fontId="4" fillId="0" borderId="2" xfId="2" applyNumberFormat="1" applyFont="1" applyFill="1" applyBorder="1" applyAlignment="1">
      <alignment horizontal="center" wrapText="1"/>
    </xf>
  </cellXfs>
  <cellStyles count="4">
    <cellStyle name="Check Cell" xfId="3" builtinId="23"/>
    <cellStyle name="Normal" xfId="0" builtinId="0"/>
    <cellStyle name="Normal 2" xfId="1" xr:uid="{00000000-0005-0000-0000-000001000000}"/>
    <cellStyle name="Normal_Sheet1" xfId="2" xr:uid="{00000000-0005-0000-0000-000003000000}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charset val="178"/>
        <scheme val="minor"/>
      </font>
      <numFmt numFmtId="164" formatCode="[$-1860000]B2d/mm/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charset val="178"/>
        <scheme val="minor"/>
      </font>
      <numFmt numFmtId="164" formatCode="[$-1860000]B2d/mm/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raditional Arab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raditional Arabi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charset val="17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raditional Arabic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F1729-321F-4A50-B316-3C9CA64426D9}" name="Table1" displayName="Table1" ref="A1:F118" totalsRowShown="0" headerRowDxfId="8" dataDxfId="7" tableBorderDxfId="6" headerRowCellStyle="Normal 2" dataCellStyle="Check Cell">
  <autoFilter ref="A1:F118" xr:uid="{7E96BCF2-499A-4D2C-A9B9-66B91C955057}"/>
  <tableColumns count="6">
    <tableColumn id="1" xr3:uid="{56ACBB36-C198-4ED4-81A1-9DBC13849245}" name="S/N" dataDxfId="5" dataCellStyle="Normal_Sheet1"/>
    <tableColumn id="2" xr3:uid="{0EE64C39-B45D-484B-8E42-6E6A6484687B}" name="DOOR NO." dataDxfId="4" dataCellStyle="Normal_Sheet1"/>
    <tableColumn id="3" xr3:uid="{833D3D97-58EE-4133-95CE-5B67349ABDE5}" name="MVPI EXPIRE DATE HIGRI" dataDxfId="3" dataCellStyle="Check Cell"/>
    <tableColumn id="4" xr3:uid="{C712987B-C162-4C51-9313-83B62D9203C9}" name="MVPI EXPIRE DATE AD" dataDxfId="2" dataCellStyle="Check Cell">
      <calculatedColumnFormula>TEXT(Table1[[#This Row],[MVPI EXPIRE DATE HIGRI]],"b1mm/dd/yyyy")</calculatedColumnFormula>
    </tableColumn>
    <tableColumn id="5" xr3:uid="{B7D2CA53-0EA1-4F1D-9C1F-443CFCE95012}" name="ESTMARA EXPIRE DATE HIGRI" dataDxfId="1" dataCellStyle="Check Cell"/>
    <tableColumn id="6" xr3:uid="{7F47C62F-65F1-469A-8432-3FBC9BE3D3B1}" name="ESTMARA EXPIRE DATE AD" dataDxfId="0" dataCellStyle="Check Cell">
      <calculatedColumnFormula>TEXT(Table1[[#This Row],[ESTMARA EXPIRE DATE HIGRI]],"b1mm/dd/yyyy")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F118"/>
  <sheetViews>
    <sheetView tabSelected="1" topLeftCell="B96" zoomScale="84" zoomScaleNormal="84" workbookViewId="0">
      <selection activeCell="D110" sqref="D110"/>
    </sheetView>
  </sheetViews>
  <sheetFormatPr defaultColWidth="25" defaultRowHeight="19.95" customHeight="1" x14ac:dyDescent="0.65"/>
  <cols>
    <col min="1" max="1" width="10" style="1" customWidth="1"/>
    <col min="2" max="2" width="15.109375" style="1" customWidth="1"/>
    <col min="3" max="3" width="42.33203125" style="13" bestFit="1" customWidth="1"/>
    <col min="4" max="4" width="42.33203125" style="1" customWidth="1"/>
    <col min="5" max="5" width="49.33203125" style="13" bestFit="1" customWidth="1"/>
    <col min="6" max="6" width="42.33203125" style="1" customWidth="1"/>
    <col min="7" max="16384" width="25" style="1"/>
  </cols>
  <sheetData>
    <row r="1" spans="1:6" ht="19.95" customHeight="1" x14ac:dyDescent="0.65">
      <c r="A1" s="2" t="s">
        <v>12</v>
      </c>
      <c r="B1" s="2" t="s">
        <v>77</v>
      </c>
      <c r="C1" s="9" t="s">
        <v>122</v>
      </c>
      <c r="D1" s="3" t="s">
        <v>123</v>
      </c>
      <c r="E1" s="14" t="s">
        <v>124</v>
      </c>
      <c r="F1" s="8" t="s">
        <v>125</v>
      </c>
    </row>
    <row r="2" spans="1:6" ht="19.95" customHeight="1" x14ac:dyDescent="0.65">
      <c r="A2" s="4">
        <v>1</v>
      </c>
      <c r="B2" s="4" t="s">
        <v>78</v>
      </c>
      <c r="C2" s="18" t="s">
        <v>119</v>
      </c>
      <c r="D2" s="5" t="str">
        <f>TEXT(Table1[[#This Row],[MVPI EXPIRE DATE HIGRI]],"b1mm/dd/yyyy")</f>
        <v>new</v>
      </c>
      <c r="E2" s="15">
        <v>44814</v>
      </c>
      <c r="F2" s="5" t="str">
        <f>TEXT(Table1[[#This Row],[ESTMARA EXPIRE DATE HIGRI]],"b1mm/dd/yyyy")</f>
        <v>09/10/2022</v>
      </c>
    </row>
    <row r="3" spans="1:6" ht="19.95" customHeight="1" x14ac:dyDescent="0.65">
      <c r="A3" s="4">
        <v>2</v>
      </c>
      <c r="B3" s="4" t="s">
        <v>79</v>
      </c>
      <c r="C3" s="18" t="s">
        <v>119</v>
      </c>
      <c r="D3" s="5" t="str">
        <f>TEXT(Table1[[#This Row],[MVPI EXPIRE DATE HIGRI]],"b1mm/dd/yyyy")</f>
        <v>new</v>
      </c>
      <c r="E3" s="15">
        <v>44878</v>
      </c>
      <c r="F3" s="5" t="str">
        <f>TEXT(Table1[[#This Row],[ESTMARA EXPIRE DATE HIGRI]],"b1mm/dd/yyyy")</f>
        <v>11/13/2022</v>
      </c>
    </row>
    <row r="4" spans="1:6" ht="19.95" customHeight="1" x14ac:dyDescent="0.65">
      <c r="A4" s="4">
        <v>3</v>
      </c>
      <c r="B4" s="4" t="s">
        <v>80</v>
      </c>
      <c r="C4" s="11">
        <v>43926</v>
      </c>
      <c r="D4" s="5" t="str">
        <f>TEXT(Table1[[#This Row],[MVPI EXPIRE DATE HIGRI]],"b1mm/dd/yyyy")</f>
        <v>04/05/2020</v>
      </c>
      <c r="E4" s="15">
        <v>44219</v>
      </c>
      <c r="F4" s="5" t="str">
        <f>TEXT(Table1[[#This Row],[ESTMARA EXPIRE DATE HIGRI]],"b1mm/dd/yyyy")</f>
        <v>01/23/2021</v>
      </c>
    </row>
    <row r="5" spans="1:6" ht="19.95" customHeight="1" x14ac:dyDescent="0.65">
      <c r="A5" s="4">
        <v>4</v>
      </c>
      <c r="B5" s="4" t="s">
        <v>81</v>
      </c>
      <c r="C5" s="18" t="s">
        <v>119</v>
      </c>
      <c r="D5" s="5" t="str">
        <f>TEXT(Table1[[#This Row],[MVPI EXPIRE DATE HIGRI]],"b1mm/dd/yyyy")</f>
        <v>new</v>
      </c>
      <c r="E5" s="15">
        <v>44885</v>
      </c>
      <c r="F5" s="5" t="str">
        <f>TEXT(Table1[[#This Row],[ESTMARA EXPIRE DATE HIGRI]],"b1mm/dd/yyyy")</f>
        <v>11/20/2022</v>
      </c>
    </row>
    <row r="6" spans="1:6" ht="19.95" customHeight="1" x14ac:dyDescent="0.65">
      <c r="A6" s="4">
        <v>5</v>
      </c>
      <c r="B6" s="4" t="s">
        <v>82</v>
      </c>
      <c r="C6" s="11">
        <v>44101</v>
      </c>
      <c r="D6" s="5" t="str">
        <f>TEXT(Table1[[#This Row],[MVPI EXPIRE DATE HIGRI]],"b1mm/dd/yyyy")</f>
        <v>09/27/2020</v>
      </c>
      <c r="E6" s="15">
        <v>44900</v>
      </c>
      <c r="F6" s="5" t="str">
        <f>TEXT(Table1[[#This Row],[ESTMARA EXPIRE DATE HIGRI]],"b1mm/dd/yyyy")</f>
        <v>12/05/2022</v>
      </c>
    </row>
    <row r="7" spans="1:6" ht="19.95" customHeight="1" x14ac:dyDescent="0.65">
      <c r="A7" s="4">
        <v>6</v>
      </c>
      <c r="B7" s="4" t="s">
        <v>108</v>
      </c>
      <c r="C7" s="12">
        <v>43184</v>
      </c>
      <c r="D7" s="5" t="str">
        <f>TEXT(Table1[[#This Row],[MVPI EXPIRE DATE HIGRI]],"b1mm/dd/yyyy")</f>
        <v>03/25/2018</v>
      </c>
      <c r="E7" s="15">
        <v>44149</v>
      </c>
      <c r="F7" s="5" t="str">
        <f>TEXT(Table1[[#This Row],[ESTMARA EXPIRE DATE HIGRI]],"b1mm/dd/yyyy")</f>
        <v>11/14/2020</v>
      </c>
    </row>
    <row r="8" spans="1:6" ht="19.95" customHeight="1" x14ac:dyDescent="0.65">
      <c r="A8" s="4">
        <v>7</v>
      </c>
      <c r="B8" s="4" t="s">
        <v>83</v>
      </c>
      <c r="C8" s="11">
        <v>44116</v>
      </c>
      <c r="D8" s="5" t="str">
        <f>TEXT(Table1[[#This Row],[MVPI EXPIRE DATE HIGRI]],"b1mm/dd/yyyy")</f>
        <v>10/12/2020</v>
      </c>
      <c r="E8" s="15">
        <v>44661</v>
      </c>
      <c r="F8" s="5" t="str">
        <f>TEXT(Table1[[#This Row],[ESTMARA EXPIRE DATE HIGRI]],"b1mm/dd/yyyy")</f>
        <v>04/10/2022</v>
      </c>
    </row>
    <row r="9" spans="1:6" ht="19.95" customHeight="1" x14ac:dyDescent="0.65">
      <c r="A9" s="4">
        <v>8</v>
      </c>
      <c r="B9" s="4" t="s">
        <v>84</v>
      </c>
      <c r="C9" s="11">
        <v>44154</v>
      </c>
      <c r="D9" s="5" t="str">
        <f>TEXT(Table1[[#This Row],[MVPI EXPIRE DATE HIGRI]],"b1mm/dd/yyyy")</f>
        <v>11/19/2020</v>
      </c>
      <c r="E9" s="15">
        <v>44843</v>
      </c>
      <c r="F9" s="5" t="str">
        <f>TEXT(Table1[[#This Row],[ESTMARA EXPIRE DATE HIGRI]],"b1mm/dd/yyyy")</f>
        <v>10/09/2022</v>
      </c>
    </row>
    <row r="10" spans="1:6" ht="19.95" customHeight="1" x14ac:dyDescent="0.65">
      <c r="A10" s="4">
        <v>9</v>
      </c>
      <c r="B10" s="4" t="s">
        <v>85</v>
      </c>
      <c r="C10" s="11">
        <v>43925</v>
      </c>
      <c r="D10" s="5" t="str">
        <f>TEXT(Table1[[#This Row],[MVPI EXPIRE DATE HIGRI]],"b1mm/dd/yyyy")</f>
        <v>04/04/2020</v>
      </c>
      <c r="E10" s="15">
        <v>44635</v>
      </c>
      <c r="F10" s="5" t="str">
        <f>TEXT(Table1[[#This Row],[ESTMARA EXPIRE DATE HIGRI]],"b1mm/dd/yyyy")</f>
        <v>03/15/2022</v>
      </c>
    </row>
    <row r="11" spans="1:6" ht="19.95" customHeight="1" x14ac:dyDescent="0.65">
      <c r="A11" s="4">
        <v>10</v>
      </c>
      <c r="B11" s="4" t="s">
        <v>86</v>
      </c>
      <c r="C11" s="11">
        <v>43934</v>
      </c>
      <c r="D11" s="5" t="str">
        <f>TEXT(Table1[[#This Row],[MVPI EXPIRE DATE HIGRI]],"b1mm/dd/yyyy")</f>
        <v>04/13/2020</v>
      </c>
      <c r="E11" s="15">
        <v>44914</v>
      </c>
      <c r="F11" s="5" t="str">
        <f>TEXT(Table1[[#This Row],[ESTMARA EXPIRE DATE HIGRI]],"b1mm/dd/yyyy")</f>
        <v>12/19/2022</v>
      </c>
    </row>
    <row r="12" spans="1:6" ht="19.95" customHeight="1" x14ac:dyDescent="0.65">
      <c r="A12" s="4">
        <v>11</v>
      </c>
      <c r="B12" s="4" t="s">
        <v>87</v>
      </c>
      <c r="C12" s="11">
        <v>43932</v>
      </c>
      <c r="D12" s="5" t="str">
        <f>TEXT(Table1[[#This Row],[MVPI EXPIRE DATE HIGRI]],"b1mm/dd/yyyy")</f>
        <v>04/11/2020</v>
      </c>
      <c r="E12" s="15">
        <v>44914</v>
      </c>
      <c r="F12" s="5" t="str">
        <f>TEXT(Table1[[#This Row],[ESTMARA EXPIRE DATE HIGRI]],"b1mm/dd/yyyy")</f>
        <v>12/19/2022</v>
      </c>
    </row>
    <row r="13" spans="1:6" ht="19.95" customHeight="1" x14ac:dyDescent="0.65">
      <c r="A13" s="4">
        <v>12</v>
      </c>
      <c r="B13" s="4" t="s">
        <v>88</v>
      </c>
      <c r="C13" s="11">
        <v>44098</v>
      </c>
      <c r="D13" s="5" t="str">
        <f>TEXT(Table1[[#This Row],[MVPI EXPIRE DATE HIGRI]],"b1mm/dd/yyyy")</f>
        <v>09/24/2020</v>
      </c>
      <c r="E13" s="15">
        <v>44914</v>
      </c>
      <c r="F13" s="5" t="str">
        <f>TEXT(Table1[[#This Row],[ESTMARA EXPIRE DATE HIGRI]],"b1mm/dd/yyyy")</f>
        <v>12/19/2022</v>
      </c>
    </row>
    <row r="14" spans="1:6" ht="19.95" customHeight="1" x14ac:dyDescent="0.65">
      <c r="A14" s="4">
        <v>13</v>
      </c>
      <c r="B14" s="4" t="s">
        <v>89</v>
      </c>
      <c r="C14" s="11">
        <v>44162</v>
      </c>
      <c r="D14" s="5" t="str">
        <f>TEXT(Table1[[#This Row],[MVPI EXPIRE DATE HIGRI]],"b1mm/dd/yyyy")</f>
        <v>11/27/2020</v>
      </c>
      <c r="E14" s="15">
        <v>44929</v>
      </c>
      <c r="F14" s="5" t="str">
        <f>TEXT(Table1[[#This Row],[ESTMARA EXPIRE DATE HIGRI]],"b1mm/dd/yyyy")</f>
        <v>01/03/2023</v>
      </c>
    </row>
    <row r="15" spans="1:6" ht="19.95" customHeight="1" x14ac:dyDescent="0.65">
      <c r="A15" s="4">
        <v>14</v>
      </c>
      <c r="B15" s="4" t="s">
        <v>90</v>
      </c>
      <c r="C15" s="11">
        <v>44217</v>
      </c>
      <c r="D15" s="5" t="str">
        <f>TEXT(Table1[[#This Row],[MVPI EXPIRE DATE HIGRI]],"b1mm/dd/yyyy")</f>
        <v>01/21/2021</v>
      </c>
      <c r="E15" s="15">
        <v>44829</v>
      </c>
      <c r="F15" s="5" t="str">
        <f>TEXT(Table1[[#This Row],[ESTMARA EXPIRE DATE HIGRI]],"b1mm/dd/yyyy")</f>
        <v>09/25/2022</v>
      </c>
    </row>
    <row r="16" spans="1:6" ht="19.95" customHeight="1" x14ac:dyDescent="0.65">
      <c r="A16" s="4">
        <v>15</v>
      </c>
      <c r="B16" s="4" t="s">
        <v>91</v>
      </c>
      <c r="C16" s="11">
        <v>44036</v>
      </c>
      <c r="D16" s="5" t="str">
        <f>TEXT(Table1[[#This Row],[MVPI EXPIRE DATE HIGRI]],"b1mm/dd/yyyy")</f>
        <v>07/24/2020</v>
      </c>
      <c r="E16" s="15">
        <v>44829</v>
      </c>
      <c r="F16" s="5" t="str">
        <f>TEXT(Table1[[#This Row],[ESTMARA EXPIRE DATE HIGRI]],"b1mm/dd/yyyy")</f>
        <v>09/25/2022</v>
      </c>
    </row>
    <row r="17" spans="1:6" ht="19.95" customHeight="1" x14ac:dyDescent="0.65">
      <c r="A17" s="4">
        <v>16</v>
      </c>
      <c r="B17" s="4" t="s">
        <v>92</v>
      </c>
      <c r="C17" s="11">
        <v>44137</v>
      </c>
      <c r="D17" s="5" t="str">
        <f>TEXT(Table1[[#This Row],[MVPI EXPIRE DATE HIGRI]],"b1mm/dd/yyyy")</f>
        <v>11/02/2020</v>
      </c>
      <c r="E17" s="15">
        <v>44829</v>
      </c>
      <c r="F17" s="5" t="str">
        <f>TEXT(Table1[[#This Row],[ESTMARA EXPIRE DATE HIGRI]],"b1mm/dd/yyyy")</f>
        <v>09/25/2022</v>
      </c>
    </row>
    <row r="18" spans="1:6" ht="19.95" customHeight="1" x14ac:dyDescent="0.65">
      <c r="A18" s="4">
        <v>17</v>
      </c>
      <c r="B18" s="4" t="s">
        <v>93</v>
      </c>
      <c r="C18" s="11">
        <v>43968</v>
      </c>
      <c r="D18" s="5" t="str">
        <f>TEXT(Table1[[#This Row],[MVPI EXPIRE DATE HIGRI]],"b1mm/dd/yyyy")</f>
        <v>05/17/2020</v>
      </c>
      <c r="E18" s="15">
        <v>44152</v>
      </c>
      <c r="F18" s="5" t="str">
        <f>TEXT(Table1[[#This Row],[ESTMARA EXPIRE DATE HIGRI]],"b1mm/dd/yyyy")</f>
        <v>11/17/2020</v>
      </c>
    </row>
    <row r="19" spans="1:6" ht="19.95" customHeight="1" x14ac:dyDescent="0.65">
      <c r="A19" s="4">
        <v>18</v>
      </c>
      <c r="B19" s="4" t="s">
        <v>94</v>
      </c>
      <c r="C19" s="11">
        <v>43952</v>
      </c>
      <c r="D19" s="5" t="str">
        <f>TEXT(Table1[[#This Row],[MVPI EXPIRE DATE HIGRI]],"b1mm/dd/yyyy")</f>
        <v>05/01/2020</v>
      </c>
      <c r="E19" s="15">
        <v>44970</v>
      </c>
      <c r="F19" s="5" t="str">
        <f>TEXT(Table1[[#This Row],[ESTMARA EXPIRE DATE HIGRI]],"b1mm/dd/yyyy")</f>
        <v>02/13/2023</v>
      </c>
    </row>
    <row r="20" spans="1:6" ht="19.95" customHeight="1" x14ac:dyDescent="0.65">
      <c r="A20" s="4">
        <v>19</v>
      </c>
      <c r="B20" s="4" t="s">
        <v>52</v>
      </c>
      <c r="C20" s="12">
        <v>43575</v>
      </c>
      <c r="D20" s="5" t="str">
        <f>TEXT(Table1[[#This Row],[MVPI EXPIRE DATE HIGRI]],"b1mm/dd/yyyy")</f>
        <v>04/20/2019</v>
      </c>
      <c r="E20" s="15">
        <v>44472</v>
      </c>
      <c r="F20" s="5" t="str">
        <f>TEXT(Table1[[#This Row],[ESTMARA EXPIRE DATE HIGRI]],"b1mm/dd/yyyy")</f>
        <v>10/03/2021</v>
      </c>
    </row>
    <row r="21" spans="1:6" ht="19.95" customHeight="1" x14ac:dyDescent="0.65">
      <c r="A21" s="4">
        <v>20</v>
      </c>
      <c r="B21" s="4" t="s">
        <v>54</v>
      </c>
      <c r="C21" s="11">
        <v>44232</v>
      </c>
      <c r="D21" s="5" t="str">
        <f>TEXT(Table1[[#This Row],[MVPI EXPIRE DATE HIGRI]],"b1mm/dd/yyyy")</f>
        <v>02/05/2021</v>
      </c>
      <c r="E21" s="15">
        <v>44772</v>
      </c>
      <c r="F21" s="5" t="str">
        <f>TEXT(Table1[[#This Row],[ESTMARA EXPIRE DATE HIGRI]],"b1mm/dd/yyyy")</f>
        <v>07/30/2022</v>
      </c>
    </row>
    <row r="22" spans="1:6" ht="19.95" customHeight="1" x14ac:dyDescent="0.65">
      <c r="A22" s="4">
        <v>21</v>
      </c>
      <c r="B22" s="4" t="s">
        <v>55</v>
      </c>
      <c r="C22" s="11">
        <v>44205</v>
      </c>
      <c r="D22" s="5" t="str">
        <f>TEXT(Table1[[#This Row],[MVPI EXPIRE DATE HIGRI]],"b1mm/dd/yyyy")</f>
        <v>01/09/2021</v>
      </c>
      <c r="E22" s="15">
        <v>44467</v>
      </c>
      <c r="F22" s="5" t="str">
        <f>TEXT(Table1[[#This Row],[ESTMARA EXPIRE DATE HIGRI]],"b1mm/dd/yyyy")</f>
        <v>09/28/2021</v>
      </c>
    </row>
    <row r="23" spans="1:6" ht="19.95" customHeight="1" x14ac:dyDescent="0.65">
      <c r="A23" s="4">
        <v>22</v>
      </c>
      <c r="B23" s="4" t="s">
        <v>56</v>
      </c>
      <c r="C23" s="11">
        <v>43951</v>
      </c>
      <c r="D23" s="5" t="str">
        <f>TEXT(Table1[[#This Row],[MVPI EXPIRE DATE HIGRI]],"b1mm/dd/yyyy")</f>
        <v>04/30/2020</v>
      </c>
      <c r="E23" s="15">
        <v>44615</v>
      </c>
      <c r="F23" s="5" t="str">
        <f>TEXT(Table1[[#This Row],[ESTMARA EXPIRE DATE HIGRI]],"b1mm/dd/yyyy")</f>
        <v>02/23/2022</v>
      </c>
    </row>
    <row r="24" spans="1:6" ht="19.95" customHeight="1" x14ac:dyDescent="0.65">
      <c r="A24" s="4">
        <v>23</v>
      </c>
      <c r="B24" s="4" t="s">
        <v>57</v>
      </c>
      <c r="C24" s="11">
        <v>43947</v>
      </c>
      <c r="D24" s="5" t="str">
        <f>TEXT(Table1[[#This Row],[MVPI EXPIRE DATE HIGRI]],"b1mm/dd/yyyy")</f>
        <v>04/26/2020</v>
      </c>
      <c r="E24" s="15">
        <v>44662</v>
      </c>
      <c r="F24" s="5" t="str">
        <f>TEXT(Table1[[#This Row],[ESTMARA EXPIRE DATE HIGRI]],"b1mm/dd/yyyy")</f>
        <v>04/11/2022</v>
      </c>
    </row>
    <row r="25" spans="1:6" ht="19.95" customHeight="1" x14ac:dyDescent="0.65">
      <c r="A25" s="4">
        <v>24</v>
      </c>
      <c r="B25" s="4" t="s">
        <v>58</v>
      </c>
      <c r="C25" s="11">
        <v>44073</v>
      </c>
      <c r="D25" s="5" t="str">
        <f>TEXT(Table1[[#This Row],[MVPI EXPIRE DATE HIGRI]],"b1mm/dd/yyyy")</f>
        <v>08/30/2020</v>
      </c>
      <c r="E25" s="15">
        <v>44511</v>
      </c>
      <c r="F25" s="5" t="str">
        <f>TEXT(Table1[[#This Row],[ESTMARA EXPIRE DATE HIGRI]],"b1mm/dd/yyyy")</f>
        <v>11/11/2021</v>
      </c>
    </row>
    <row r="26" spans="1:6" ht="19.95" customHeight="1" x14ac:dyDescent="0.65">
      <c r="A26" s="4">
        <v>25</v>
      </c>
      <c r="B26" s="4" t="s">
        <v>67</v>
      </c>
      <c r="C26" s="11">
        <v>44091</v>
      </c>
      <c r="D26" s="5" t="str">
        <f>TEXT(Table1[[#This Row],[MVPI EXPIRE DATE HIGRI]],"b1mm/dd/yyyy")</f>
        <v>09/17/2020</v>
      </c>
      <c r="E26" s="15">
        <v>44496</v>
      </c>
      <c r="F26" s="5" t="str">
        <f>TEXT(Table1[[#This Row],[ESTMARA EXPIRE DATE HIGRI]],"b1mm/dd/yyyy")</f>
        <v>10/27/2021</v>
      </c>
    </row>
    <row r="27" spans="1:6" ht="19.95" customHeight="1" x14ac:dyDescent="0.65">
      <c r="A27" s="4">
        <v>26</v>
      </c>
      <c r="B27" s="4" t="s">
        <v>68</v>
      </c>
      <c r="C27" s="11">
        <v>43947</v>
      </c>
      <c r="D27" s="5" t="str">
        <f>TEXT(Table1[[#This Row],[MVPI EXPIRE DATE HIGRI]],"b1mm/dd/yyyy")</f>
        <v>04/26/2020</v>
      </c>
      <c r="E27" s="15">
        <v>44615</v>
      </c>
      <c r="F27" s="5" t="str">
        <f>TEXT(Table1[[#This Row],[ESTMARA EXPIRE DATE HIGRI]],"b1mm/dd/yyyy")</f>
        <v>02/23/2022</v>
      </c>
    </row>
    <row r="28" spans="1:6" ht="19.95" customHeight="1" x14ac:dyDescent="0.65">
      <c r="A28" s="4">
        <v>27</v>
      </c>
      <c r="B28" s="4" t="s">
        <v>60</v>
      </c>
      <c r="C28" s="11">
        <v>44219</v>
      </c>
      <c r="D28" s="5" t="str">
        <f>TEXT(Table1[[#This Row],[MVPI EXPIRE DATE HIGRI]],"b1mm/dd/yyyy")</f>
        <v>01/23/2021</v>
      </c>
      <c r="E28" s="15">
        <v>44817</v>
      </c>
      <c r="F28" s="5" t="str">
        <f>TEXT(Table1[[#This Row],[ESTMARA EXPIRE DATE HIGRI]],"b1mm/dd/yyyy")</f>
        <v>09/13/2022</v>
      </c>
    </row>
    <row r="29" spans="1:6" ht="19.95" customHeight="1" x14ac:dyDescent="0.65">
      <c r="A29" s="4">
        <v>28</v>
      </c>
      <c r="B29" s="4" t="s">
        <v>69</v>
      </c>
      <c r="C29" s="11">
        <v>43918</v>
      </c>
      <c r="D29" s="5" t="str">
        <f>TEXT(Table1[[#This Row],[MVPI EXPIRE DATE HIGRI]],"b1mm/dd/yyyy")</f>
        <v>03/28/2020</v>
      </c>
      <c r="E29" s="15">
        <v>44988</v>
      </c>
      <c r="F29" s="5" t="str">
        <f>TEXT(Table1[[#This Row],[ESTMARA EXPIRE DATE HIGRI]],"b1mm/dd/yyyy")</f>
        <v>03/03/2023</v>
      </c>
    </row>
    <row r="30" spans="1:6" ht="19.95" customHeight="1" x14ac:dyDescent="0.65">
      <c r="A30" s="4">
        <v>29</v>
      </c>
      <c r="B30" s="4" t="s">
        <v>70</v>
      </c>
      <c r="C30" s="11">
        <v>44036</v>
      </c>
      <c r="D30" s="5" t="str">
        <f>TEXT(Table1[[#This Row],[MVPI EXPIRE DATE HIGRI]],"b1mm/dd/yyyy")</f>
        <v>07/24/2020</v>
      </c>
      <c r="E30" s="15">
        <v>44988</v>
      </c>
      <c r="F30" s="5" t="str">
        <f>TEXT(Table1[[#This Row],[ESTMARA EXPIRE DATE HIGRI]],"b1mm/dd/yyyy")</f>
        <v>03/03/2023</v>
      </c>
    </row>
    <row r="31" spans="1:6" ht="19.95" customHeight="1" x14ac:dyDescent="0.65">
      <c r="A31" s="4">
        <v>30</v>
      </c>
      <c r="B31" s="4" t="s">
        <v>71</v>
      </c>
      <c r="C31" s="11">
        <v>43916</v>
      </c>
      <c r="D31" s="5" t="str">
        <f>TEXT(Table1[[#This Row],[MVPI EXPIRE DATE HIGRI]],"b1mm/dd/yyyy")</f>
        <v>03/26/2020</v>
      </c>
      <c r="E31" s="15">
        <v>44988</v>
      </c>
      <c r="F31" s="5" t="str">
        <f>TEXT(Table1[[#This Row],[ESTMARA EXPIRE DATE HIGRI]],"b1mm/dd/yyyy")</f>
        <v>03/03/2023</v>
      </c>
    </row>
    <row r="32" spans="1:6" ht="19.95" customHeight="1" x14ac:dyDescent="0.65">
      <c r="A32" s="4">
        <v>31</v>
      </c>
      <c r="B32" s="4" t="s">
        <v>72</v>
      </c>
      <c r="C32" s="11">
        <v>44137</v>
      </c>
      <c r="D32" s="5" t="str">
        <f>TEXT(Table1[[#This Row],[MVPI EXPIRE DATE HIGRI]],"b1mm/dd/yyyy")</f>
        <v>11/02/2020</v>
      </c>
      <c r="E32" s="15">
        <v>44149</v>
      </c>
      <c r="F32" s="5" t="str">
        <f>TEXT(Table1[[#This Row],[ESTMARA EXPIRE DATE HIGRI]],"b1mm/dd/yyyy")</f>
        <v>11/14/2020</v>
      </c>
    </row>
    <row r="33" spans="1:6" ht="19.95" customHeight="1" x14ac:dyDescent="0.65">
      <c r="A33" s="4">
        <v>32</v>
      </c>
      <c r="B33" s="4" t="s">
        <v>48</v>
      </c>
      <c r="C33" s="11">
        <v>44213</v>
      </c>
      <c r="D33" s="5" t="str">
        <f>TEXT(Table1[[#This Row],[MVPI EXPIRE DATE HIGRI]],"b1mm/dd/yyyy")</f>
        <v>01/17/2021</v>
      </c>
      <c r="E33" s="15">
        <v>44336</v>
      </c>
      <c r="F33" s="5" t="str">
        <f>TEXT(Table1[[#This Row],[ESTMARA EXPIRE DATE HIGRI]],"b1mm/dd/yyyy")</f>
        <v>05/20/2021</v>
      </c>
    </row>
    <row r="34" spans="1:6" ht="19.95" customHeight="1" x14ac:dyDescent="0.65">
      <c r="A34" s="4">
        <v>33</v>
      </c>
      <c r="B34" s="4" t="s">
        <v>49</v>
      </c>
      <c r="C34" s="12">
        <v>43409</v>
      </c>
      <c r="D34" s="5" t="str">
        <f>TEXT(Table1[[#This Row],[MVPI EXPIRE DATE HIGRI]],"b1mm/dd/yyyy")</f>
        <v>11/05/2018</v>
      </c>
      <c r="E34" s="15">
        <v>44142</v>
      </c>
      <c r="F34" s="5" t="str">
        <f>TEXT(Table1[[#This Row],[ESTMARA EXPIRE DATE HIGRI]],"b1mm/dd/yyyy")</f>
        <v>11/07/2020</v>
      </c>
    </row>
    <row r="35" spans="1:6" ht="19.95" customHeight="1" x14ac:dyDescent="0.65">
      <c r="A35" s="4">
        <v>34</v>
      </c>
      <c r="B35" s="4" t="s">
        <v>50</v>
      </c>
      <c r="C35" s="12">
        <v>43563</v>
      </c>
      <c r="D35" s="5" t="str">
        <f>TEXT(Table1[[#This Row],[MVPI EXPIRE DATE HIGRI]],"b1mm/dd/yyyy")</f>
        <v>04/08/2019</v>
      </c>
      <c r="E35" s="15">
        <v>44502</v>
      </c>
      <c r="F35" s="5" t="str">
        <f>TEXT(Table1[[#This Row],[ESTMARA EXPIRE DATE HIGRI]],"b1mm/dd/yyyy")</f>
        <v>11/02/2021</v>
      </c>
    </row>
    <row r="36" spans="1:6" ht="19.95" customHeight="1" x14ac:dyDescent="0.65">
      <c r="A36" s="4">
        <v>35</v>
      </c>
      <c r="B36" s="4" t="s">
        <v>51</v>
      </c>
      <c r="C36" s="12">
        <v>43159</v>
      </c>
      <c r="D36" s="5" t="str">
        <f>TEXT(Table1[[#This Row],[MVPI EXPIRE DATE HIGRI]],"b1mm/dd/yyyy")</f>
        <v>02/28/2018</v>
      </c>
      <c r="E36" s="16">
        <v>43872</v>
      </c>
      <c r="F36" s="5" t="str">
        <f>TEXT(Table1[[#This Row],[ESTMARA EXPIRE DATE HIGRI]],"b1mm/dd/yyyy")</f>
        <v>02/11/2020</v>
      </c>
    </row>
    <row r="37" spans="1:6" ht="19.95" customHeight="1" x14ac:dyDescent="0.65">
      <c r="A37" s="4">
        <v>36</v>
      </c>
      <c r="B37" s="4" t="s">
        <v>61</v>
      </c>
      <c r="C37" s="11">
        <v>44140</v>
      </c>
      <c r="D37" s="5" t="str">
        <f>TEXT(Table1[[#This Row],[MVPI EXPIRE DATE HIGRI]],"b1mm/dd/yyyy")</f>
        <v>11/05/2020</v>
      </c>
      <c r="E37" s="15">
        <v>44418</v>
      </c>
      <c r="F37" s="5" t="str">
        <f>TEXT(Table1[[#This Row],[ESTMARA EXPIRE DATE HIGRI]],"b1mm/dd/yyyy")</f>
        <v>08/10/2021</v>
      </c>
    </row>
    <row r="38" spans="1:6" ht="19.95" customHeight="1" x14ac:dyDescent="0.65">
      <c r="A38" s="4">
        <v>37</v>
      </c>
      <c r="B38" s="4" t="s">
        <v>62</v>
      </c>
      <c r="C38" s="12">
        <v>43596</v>
      </c>
      <c r="D38" s="5" t="str">
        <f>TEXT(Table1[[#This Row],[MVPI EXPIRE DATE HIGRI]],"b1mm/dd/yyyy")</f>
        <v>05/11/2019</v>
      </c>
      <c r="E38" s="15">
        <v>44439</v>
      </c>
      <c r="F38" s="5" t="str">
        <f>TEXT(Table1[[#This Row],[ESTMARA EXPIRE DATE HIGRI]],"b1mm/dd/yyyy")</f>
        <v>08/31/2021</v>
      </c>
    </row>
    <row r="39" spans="1:6" ht="19.95" customHeight="1" x14ac:dyDescent="0.65">
      <c r="A39" s="4">
        <v>38</v>
      </c>
      <c r="B39" s="4" t="s">
        <v>53</v>
      </c>
      <c r="C39" s="12">
        <v>43055</v>
      </c>
      <c r="D39" s="5" t="str">
        <f>TEXT(Table1[[#This Row],[MVPI EXPIRE DATE HIGRI]],"b1mm/dd/yyyy")</f>
        <v>11/16/2017</v>
      </c>
      <c r="E39" s="16">
        <v>43816</v>
      </c>
      <c r="F39" s="5" t="str">
        <f>TEXT(Table1[[#This Row],[ESTMARA EXPIRE DATE HIGRI]],"b1mm/dd/yyyy")</f>
        <v>12/17/2019</v>
      </c>
    </row>
    <row r="40" spans="1:6" ht="19.95" customHeight="1" x14ac:dyDescent="0.65">
      <c r="A40" s="4">
        <v>39</v>
      </c>
      <c r="B40" s="4" t="s">
        <v>104</v>
      </c>
      <c r="C40" s="11">
        <v>43966</v>
      </c>
      <c r="D40" s="5" t="str">
        <f>TEXT(Table1[[#This Row],[MVPI EXPIRE DATE HIGRI]],"b1mm/dd/yyyy")</f>
        <v>05/15/2020</v>
      </c>
      <c r="E40" s="15">
        <v>44095</v>
      </c>
      <c r="F40" s="5" t="str">
        <f>TEXT(Table1[[#This Row],[ESTMARA EXPIRE DATE HIGRI]],"b1mm/dd/yyyy")</f>
        <v>09/21/2020</v>
      </c>
    </row>
    <row r="41" spans="1:6" ht="19.95" customHeight="1" x14ac:dyDescent="0.65">
      <c r="A41" s="4">
        <v>40</v>
      </c>
      <c r="B41" s="4" t="s">
        <v>75</v>
      </c>
      <c r="C41" s="11">
        <v>44196</v>
      </c>
      <c r="D41" s="5" t="str">
        <f>TEXT(Table1[[#This Row],[MVPI EXPIRE DATE HIGRI]],"b1mm/dd/yyyy")</f>
        <v>12/31/2020</v>
      </c>
      <c r="E41" s="15">
        <v>44003</v>
      </c>
      <c r="F41" s="5" t="str">
        <f>TEXT(Table1[[#This Row],[ESTMARA EXPIRE DATE HIGRI]],"b1mm/dd/yyyy")</f>
        <v>06/21/2020</v>
      </c>
    </row>
    <row r="42" spans="1:6" ht="19.95" customHeight="1" x14ac:dyDescent="0.65">
      <c r="A42" s="4">
        <v>41</v>
      </c>
      <c r="B42" s="4" t="s">
        <v>107</v>
      </c>
      <c r="C42" s="11">
        <v>44214</v>
      </c>
      <c r="D42" s="5" t="str">
        <f>TEXT(Table1[[#This Row],[MVPI EXPIRE DATE HIGRI]],"b1mm/dd/yyyy")</f>
        <v>01/18/2021</v>
      </c>
      <c r="E42" s="15">
        <v>44770</v>
      </c>
      <c r="F42" s="5" t="str">
        <f>TEXT(Table1[[#This Row],[ESTMARA EXPIRE DATE HIGRI]],"b1mm/dd/yyyy")</f>
        <v>07/28/2022</v>
      </c>
    </row>
    <row r="43" spans="1:6" ht="19.95" customHeight="1" x14ac:dyDescent="0.65">
      <c r="A43" s="4">
        <v>42</v>
      </c>
      <c r="B43" s="4" t="s">
        <v>105</v>
      </c>
      <c r="C43" s="11">
        <v>44205</v>
      </c>
      <c r="D43" s="5" t="str">
        <f>TEXT(Table1[[#This Row],[MVPI EXPIRE DATE HIGRI]],"b1mm/dd/yyyy")</f>
        <v>01/09/2021</v>
      </c>
      <c r="E43" s="15">
        <v>44734</v>
      </c>
      <c r="F43" s="5" t="str">
        <f>TEXT(Table1[[#This Row],[ESTMARA EXPIRE DATE HIGRI]],"b1mm/dd/yyyy")</f>
        <v>06/22/2022</v>
      </c>
    </row>
    <row r="44" spans="1:6" ht="19.95" customHeight="1" x14ac:dyDescent="0.65">
      <c r="A44" s="4">
        <v>43</v>
      </c>
      <c r="B44" s="4" t="s">
        <v>106</v>
      </c>
      <c r="C44" s="12">
        <v>43059</v>
      </c>
      <c r="D44" s="5" t="str">
        <f>TEXT(Table1[[#This Row],[MVPI EXPIRE DATE HIGRI]],"b1mm/dd/yyyy")</f>
        <v>11/20/2017</v>
      </c>
      <c r="E44" s="16">
        <v>43728</v>
      </c>
      <c r="F44" s="5" t="str">
        <f>TEXT(Table1[[#This Row],[ESTMARA EXPIRE DATE HIGRI]],"b1mm/dd/yyyy")</f>
        <v>09/20/2019</v>
      </c>
    </row>
    <row r="45" spans="1:6" ht="19.95" customHeight="1" x14ac:dyDescent="0.65">
      <c r="A45" s="4">
        <v>44</v>
      </c>
      <c r="B45" s="4" t="s">
        <v>96</v>
      </c>
      <c r="C45" s="10" t="s">
        <v>119</v>
      </c>
      <c r="D45" s="5" t="str">
        <f>TEXT(Table1[[#This Row],[MVPI EXPIRE DATE HIGRI]],"b1mm/dd/yyyy")</f>
        <v>new</v>
      </c>
      <c r="E45" s="15">
        <v>44885</v>
      </c>
      <c r="F45" s="5" t="str">
        <f>TEXT(Table1[[#This Row],[ESTMARA EXPIRE DATE HIGRI]],"b1mm/dd/yyyy")</f>
        <v>11/20/2022</v>
      </c>
    </row>
    <row r="46" spans="1:6" ht="19.95" customHeight="1" x14ac:dyDescent="0.65">
      <c r="A46" s="4">
        <v>45</v>
      </c>
      <c r="B46" s="4" t="s">
        <v>97</v>
      </c>
      <c r="C46" s="10" t="s">
        <v>119</v>
      </c>
      <c r="D46" s="5" t="str">
        <f>TEXT(Table1[[#This Row],[MVPI EXPIRE DATE HIGRI]],"b1mm/dd/yyyy")</f>
        <v>new</v>
      </c>
      <c r="E46" s="15">
        <v>44885</v>
      </c>
      <c r="F46" s="5" t="str">
        <f>TEXT(Table1[[#This Row],[ESTMARA EXPIRE DATE HIGRI]],"b1mm/dd/yyyy")</f>
        <v>11/20/2022</v>
      </c>
    </row>
    <row r="47" spans="1:6" ht="19.95" customHeight="1" x14ac:dyDescent="0.65">
      <c r="A47" s="4">
        <v>46</v>
      </c>
      <c r="B47" s="4" t="s">
        <v>98</v>
      </c>
      <c r="C47" s="10" t="s">
        <v>119</v>
      </c>
      <c r="D47" s="5" t="str">
        <f>TEXT(Table1[[#This Row],[MVPI EXPIRE DATE HIGRI]],"b1mm/dd/yyyy")</f>
        <v>new</v>
      </c>
      <c r="E47" s="15">
        <v>44885</v>
      </c>
      <c r="F47" s="5" t="str">
        <f>TEXT(Table1[[#This Row],[ESTMARA EXPIRE DATE HIGRI]],"b1mm/dd/yyyy")</f>
        <v>11/20/2022</v>
      </c>
    </row>
    <row r="48" spans="1:6" ht="19.95" customHeight="1" x14ac:dyDescent="0.65">
      <c r="A48" s="4">
        <v>47</v>
      </c>
      <c r="B48" s="4" t="s">
        <v>99</v>
      </c>
      <c r="C48" s="10" t="s">
        <v>119</v>
      </c>
      <c r="D48" s="5" t="str">
        <f>TEXT(Table1[[#This Row],[MVPI EXPIRE DATE HIGRI]],"b1mm/dd/yyyy")</f>
        <v>new</v>
      </c>
      <c r="E48" s="15">
        <v>44886</v>
      </c>
      <c r="F48" s="5" t="str">
        <f>TEXT(Table1[[#This Row],[ESTMARA EXPIRE DATE HIGRI]],"b1mm/dd/yyyy")</f>
        <v>11/21/2022</v>
      </c>
    </row>
    <row r="49" spans="1:6" ht="19.95" customHeight="1" x14ac:dyDescent="0.65">
      <c r="A49" s="4">
        <v>48</v>
      </c>
      <c r="B49" s="4" t="s">
        <v>100</v>
      </c>
      <c r="C49" s="10" t="s">
        <v>119</v>
      </c>
      <c r="D49" s="5" t="str">
        <f>TEXT(Table1[[#This Row],[MVPI EXPIRE DATE HIGRI]],"b1mm/dd/yyyy")</f>
        <v>new</v>
      </c>
      <c r="E49" s="15">
        <v>44886</v>
      </c>
      <c r="F49" s="5" t="str">
        <f>TEXT(Table1[[#This Row],[ESTMARA EXPIRE DATE HIGRI]],"b1mm/dd/yyyy")</f>
        <v>11/21/2022</v>
      </c>
    </row>
    <row r="50" spans="1:6" ht="19.95" customHeight="1" x14ac:dyDescent="0.65">
      <c r="A50" s="4">
        <v>49</v>
      </c>
      <c r="B50" s="4" t="s">
        <v>101</v>
      </c>
      <c r="C50" s="10" t="s">
        <v>119</v>
      </c>
      <c r="D50" s="5" t="str">
        <f>TEXT(Table1[[#This Row],[MVPI EXPIRE DATE HIGRI]],"b1mm/dd/yyyy")</f>
        <v>new</v>
      </c>
      <c r="E50" s="15">
        <v>44886</v>
      </c>
      <c r="F50" s="5" t="str">
        <f>TEXT(Table1[[#This Row],[ESTMARA EXPIRE DATE HIGRI]],"b1mm/dd/yyyy")</f>
        <v>11/21/2022</v>
      </c>
    </row>
    <row r="51" spans="1:6" ht="19.95" customHeight="1" x14ac:dyDescent="0.65">
      <c r="A51" s="4">
        <v>50</v>
      </c>
      <c r="B51" s="4" t="s">
        <v>102</v>
      </c>
      <c r="C51" s="10" t="s">
        <v>119</v>
      </c>
      <c r="D51" s="5" t="str">
        <f>TEXT(Table1[[#This Row],[MVPI EXPIRE DATE HIGRI]],"b1mm/dd/yyyy")</f>
        <v>new</v>
      </c>
      <c r="E51" s="15">
        <v>44886</v>
      </c>
      <c r="F51" s="5" t="str">
        <f>TEXT(Table1[[#This Row],[ESTMARA EXPIRE DATE HIGRI]],"b1mm/dd/yyyy")</f>
        <v>11/21/2022</v>
      </c>
    </row>
    <row r="52" spans="1:6" ht="19.95" customHeight="1" x14ac:dyDescent="0.65">
      <c r="A52" s="4">
        <v>51</v>
      </c>
      <c r="B52" s="4" t="s">
        <v>103</v>
      </c>
      <c r="C52" s="10" t="s">
        <v>119</v>
      </c>
      <c r="D52" s="5" t="str">
        <f>TEXT(Table1[[#This Row],[MVPI EXPIRE DATE HIGRI]],"b1mm/dd/yyyy")</f>
        <v>new</v>
      </c>
      <c r="E52" s="15">
        <v>44886</v>
      </c>
      <c r="F52" s="5" t="str">
        <f>TEXT(Table1[[#This Row],[ESTMARA EXPIRE DATE HIGRI]],"b1mm/dd/yyyy")</f>
        <v>11/21/2022</v>
      </c>
    </row>
    <row r="53" spans="1:6" ht="19.95" customHeight="1" x14ac:dyDescent="0.65">
      <c r="A53" s="4">
        <v>52</v>
      </c>
      <c r="B53" s="6" t="s">
        <v>63</v>
      </c>
      <c r="C53" s="11">
        <v>44186</v>
      </c>
      <c r="D53" s="5" t="str">
        <f>TEXT(Table1[[#This Row],[MVPI EXPIRE DATE HIGRI]],"b1mm/dd/yyyy")</f>
        <v>12/21/2020</v>
      </c>
      <c r="E53" s="15">
        <v>44860</v>
      </c>
      <c r="F53" s="5" t="str">
        <f>TEXT(Table1[[#This Row],[ESTMARA EXPIRE DATE HIGRI]],"b1mm/dd/yyyy")</f>
        <v>10/26/2022</v>
      </c>
    </row>
    <row r="54" spans="1:6" ht="19.95" customHeight="1" x14ac:dyDescent="0.65">
      <c r="A54" s="4">
        <v>53</v>
      </c>
      <c r="B54" s="6" t="s">
        <v>64</v>
      </c>
      <c r="C54" s="11">
        <v>44203</v>
      </c>
      <c r="D54" s="5" t="str">
        <f>TEXT(Table1[[#This Row],[MVPI EXPIRE DATE HIGRI]],"b1mm/dd/yyyy")</f>
        <v>01/07/2021</v>
      </c>
      <c r="E54" s="15">
        <v>44781</v>
      </c>
      <c r="F54" s="5" t="str">
        <f>TEXT(Table1[[#This Row],[ESTMARA EXPIRE DATE HIGRI]],"b1mm/dd/yyyy")</f>
        <v>08/08/2022</v>
      </c>
    </row>
    <row r="55" spans="1:6" ht="19.95" customHeight="1" x14ac:dyDescent="0.65">
      <c r="A55" s="4">
        <v>54</v>
      </c>
      <c r="B55" s="4" t="s">
        <v>59</v>
      </c>
      <c r="C55" s="12">
        <v>43888</v>
      </c>
      <c r="D55" s="5" t="str">
        <f>TEXT(Table1[[#This Row],[MVPI EXPIRE DATE HIGRI]],"b1mm/dd/yyyy")</f>
        <v>02/27/2020</v>
      </c>
      <c r="E55" s="15">
        <v>44183</v>
      </c>
      <c r="F55" s="5" t="str">
        <f>TEXT(Table1[[#This Row],[ESTMARA EXPIRE DATE HIGRI]],"b1mm/dd/yyyy")</f>
        <v>12/18/2020</v>
      </c>
    </row>
    <row r="56" spans="1:6" ht="19.95" customHeight="1" x14ac:dyDescent="0.65">
      <c r="A56" s="4">
        <v>55</v>
      </c>
      <c r="B56" s="4" t="s">
        <v>65</v>
      </c>
      <c r="C56" s="12">
        <v>43569</v>
      </c>
      <c r="D56" s="5" t="str">
        <f>TEXT(Table1[[#This Row],[MVPI EXPIRE DATE HIGRI]],"b1mm/dd/yyyy")</f>
        <v>04/14/2019</v>
      </c>
      <c r="E56" s="16">
        <v>43867</v>
      </c>
      <c r="F56" s="5" t="str">
        <f>TEXT(Table1[[#This Row],[ESTMARA EXPIRE DATE HIGRI]],"b1mm/dd/yyyy")</f>
        <v>02/06/2020</v>
      </c>
    </row>
    <row r="57" spans="1:6" ht="19.95" customHeight="1" x14ac:dyDescent="0.65">
      <c r="A57" s="4">
        <v>56</v>
      </c>
      <c r="B57" s="4" t="s">
        <v>66</v>
      </c>
      <c r="C57" s="12">
        <v>43542</v>
      </c>
      <c r="D57" s="5" t="str">
        <f>TEXT(Table1[[#This Row],[MVPI EXPIRE DATE HIGRI]],"b1mm/dd/yyyy")</f>
        <v>03/18/2019</v>
      </c>
      <c r="E57" s="16">
        <v>43867</v>
      </c>
      <c r="F57" s="5" t="str">
        <f>TEXT(Table1[[#This Row],[ESTMARA EXPIRE DATE HIGRI]],"b1mm/dd/yyyy")</f>
        <v>02/06/2020</v>
      </c>
    </row>
    <row r="58" spans="1:6" ht="19.95" customHeight="1" x14ac:dyDescent="0.65">
      <c r="A58" s="4">
        <v>57</v>
      </c>
      <c r="B58" s="4" t="s">
        <v>73</v>
      </c>
      <c r="C58" s="12">
        <v>43538</v>
      </c>
      <c r="D58" s="5" t="str">
        <f>TEXT(Table1[[#This Row],[MVPI EXPIRE DATE HIGRI]],"b1mm/dd/yyyy")</f>
        <v>03/14/2019</v>
      </c>
      <c r="E58" s="15">
        <v>44156</v>
      </c>
      <c r="F58" s="5" t="str">
        <f>TEXT(Table1[[#This Row],[ESTMARA EXPIRE DATE HIGRI]],"b1mm/dd/yyyy")</f>
        <v>11/21/2020</v>
      </c>
    </row>
    <row r="59" spans="1:6" ht="19.95" customHeight="1" x14ac:dyDescent="0.65">
      <c r="A59" s="4">
        <v>58</v>
      </c>
      <c r="B59" s="4" t="s">
        <v>74</v>
      </c>
      <c r="C59" s="12">
        <v>43539</v>
      </c>
      <c r="D59" s="5" t="str">
        <f>TEXT(Table1[[#This Row],[MVPI EXPIRE DATE HIGRI]],"b1mm/dd/yyyy")</f>
        <v>03/15/2019</v>
      </c>
      <c r="E59" s="15">
        <v>44282</v>
      </c>
      <c r="F59" s="5" t="str">
        <f>TEXT(Table1[[#This Row],[ESTMARA EXPIRE DATE HIGRI]],"b1mm/dd/yyyy")</f>
        <v>03/27/2021</v>
      </c>
    </row>
    <row r="60" spans="1:6" ht="19.95" customHeight="1" x14ac:dyDescent="0.65">
      <c r="A60" s="4">
        <v>59</v>
      </c>
      <c r="B60" s="4" t="s">
        <v>76</v>
      </c>
      <c r="C60" s="12">
        <v>43584</v>
      </c>
      <c r="D60" s="5" t="str">
        <f>TEXT(Table1[[#This Row],[MVPI EXPIRE DATE HIGRI]],"b1mm/dd/yyyy")</f>
        <v>04/29/2019</v>
      </c>
      <c r="E60" s="15">
        <v>43996</v>
      </c>
      <c r="F60" s="5" t="str">
        <f>TEXT(Table1[[#This Row],[ESTMARA EXPIRE DATE HIGRI]],"b1mm/dd/yyyy")</f>
        <v>06/14/2020</v>
      </c>
    </row>
    <row r="61" spans="1:6" ht="19.95" customHeight="1" x14ac:dyDescent="0.65">
      <c r="A61" s="4">
        <v>60</v>
      </c>
      <c r="B61" s="4" t="s">
        <v>95</v>
      </c>
      <c r="C61" s="12">
        <v>43855</v>
      </c>
      <c r="D61" s="5" t="str">
        <f>TEXT(Table1[[#This Row],[MVPI EXPIRE DATE HIGRI]],"b1mm/dd/yyyy")</f>
        <v>01/25/2020</v>
      </c>
      <c r="E61" s="15">
        <v>44627</v>
      </c>
      <c r="F61" s="5" t="str">
        <f>TEXT(Table1[[#This Row],[ESTMARA EXPIRE DATE HIGRI]],"b1mm/dd/yyyy")</f>
        <v>03/07/2022</v>
      </c>
    </row>
    <row r="62" spans="1:6" ht="19.95" customHeight="1" x14ac:dyDescent="0.65">
      <c r="A62" s="4">
        <v>61</v>
      </c>
      <c r="B62" s="4" t="s">
        <v>9</v>
      </c>
      <c r="C62" s="12">
        <v>43666</v>
      </c>
      <c r="D62" s="5" t="str">
        <f>TEXT(Table1[[#This Row],[MVPI EXPIRE DATE HIGRI]],"b1mm/dd/yyyy")</f>
        <v>07/20/2019</v>
      </c>
      <c r="E62" s="15">
        <v>44535</v>
      </c>
      <c r="F62" s="5" t="str">
        <f>TEXT(Table1[[#This Row],[ESTMARA EXPIRE DATE HIGRI]],"b1mm/dd/yyyy")</f>
        <v>12/05/2021</v>
      </c>
    </row>
    <row r="63" spans="1:6" ht="19.95" customHeight="1" x14ac:dyDescent="0.65">
      <c r="A63" s="4">
        <v>62</v>
      </c>
      <c r="B63" s="4" t="s">
        <v>10</v>
      </c>
      <c r="C63" s="12">
        <v>43423</v>
      </c>
      <c r="D63" s="5" t="str">
        <f>TEXT(Table1[[#This Row],[MVPI EXPIRE DATE HIGRI]],"b1mm/dd/yyyy")</f>
        <v>11/19/2018</v>
      </c>
      <c r="E63" s="16">
        <v>43709</v>
      </c>
      <c r="F63" s="5" t="str">
        <f>TEXT(Table1[[#This Row],[ESTMARA EXPIRE DATE HIGRI]],"b1mm/dd/yyyy")</f>
        <v>09/01/2019</v>
      </c>
    </row>
    <row r="64" spans="1:6" ht="19.95" customHeight="1" x14ac:dyDescent="0.65">
      <c r="A64" s="4">
        <v>63</v>
      </c>
      <c r="B64" s="4" t="s">
        <v>14</v>
      </c>
      <c r="C64" s="12">
        <v>40877</v>
      </c>
      <c r="D64" s="5" t="str">
        <f>TEXT(Table1[[#This Row],[MVPI EXPIRE DATE HIGRI]],"b1mm/dd/yyyy")</f>
        <v>11/30/2011</v>
      </c>
      <c r="E64" s="16">
        <v>42285</v>
      </c>
      <c r="F64" s="5" t="str">
        <f>TEXT(Table1[[#This Row],[ESTMARA EXPIRE DATE HIGRI]],"b1mm/dd/yyyy")</f>
        <v>10/08/2015</v>
      </c>
    </row>
    <row r="65" spans="1:6" ht="19.95" customHeight="1" x14ac:dyDescent="0.65">
      <c r="A65" s="4">
        <v>64</v>
      </c>
      <c r="B65" s="4" t="s">
        <v>15</v>
      </c>
      <c r="C65" s="12">
        <v>42072</v>
      </c>
      <c r="D65" s="5" t="str">
        <f>TEXT(Table1[[#This Row],[MVPI EXPIRE DATE HIGRI]],"b1mm/dd/yyyy")</f>
        <v>03/09/2015</v>
      </c>
      <c r="E65" s="16">
        <v>42734</v>
      </c>
      <c r="F65" s="5" t="str">
        <f>TEXT(Table1[[#This Row],[ESTMARA EXPIRE DATE HIGRI]],"b1mm/dd/yyyy")</f>
        <v>12/30/2016</v>
      </c>
    </row>
    <row r="66" spans="1:6" ht="19.95" customHeight="1" x14ac:dyDescent="0.65">
      <c r="A66" s="4">
        <v>65</v>
      </c>
      <c r="B66" s="4" t="s">
        <v>16</v>
      </c>
      <c r="C66" s="12">
        <v>42072</v>
      </c>
      <c r="D66" s="5" t="str">
        <f>TEXT(Table1[[#This Row],[MVPI EXPIRE DATE HIGRI]],"b1mm/dd/yyyy")</f>
        <v>03/09/2015</v>
      </c>
      <c r="E66" s="16">
        <v>42732</v>
      </c>
      <c r="F66" s="5" t="str">
        <f>TEXT(Table1[[#This Row],[ESTMARA EXPIRE DATE HIGRI]],"b1mm/dd/yyyy")</f>
        <v>12/28/2016</v>
      </c>
    </row>
    <row r="67" spans="1:6" ht="19.95" customHeight="1" x14ac:dyDescent="0.65">
      <c r="A67" s="4">
        <v>66</v>
      </c>
      <c r="B67" s="4" t="s">
        <v>109</v>
      </c>
      <c r="C67" s="10" t="s">
        <v>121</v>
      </c>
      <c r="D67" s="5" t="str">
        <f>TEXT(Table1[[#This Row],[MVPI EXPIRE DATE HIGRI]],"b1mm/dd/yyyy")</f>
        <v>N/A</v>
      </c>
      <c r="E67" s="17" t="s">
        <v>120</v>
      </c>
      <c r="F67" s="5" t="str">
        <f>TEXT(Table1[[#This Row],[ESTMARA EXPIRE DATE HIGRI]],"b1mm/dd/yyyy")</f>
        <v>no</v>
      </c>
    </row>
    <row r="68" spans="1:6" ht="19.95" customHeight="1" x14ac:dyDescent="0.65">
      <c r="A68" s="4">
        <v>67</v>
      </c>
      <c r="B68" s="4" t="s">
        <v>110</v>
      </c>
      <c r="C68" s="10" t="s">
        <v>121</v>
      </c>
      <c r="D68" s="5" t="str">
        <f>TEXT(Table1[[#This Row],[MVPI EXPIRE DATE HIGRI]],"b1mm/dd/yyyy")</f>
        <v>N/A</v>
      </c>
      <c r="E68" s="17" t="s">
        <v>120</v>
      </c>
      <c r="F68" s="5" t="str">
        <f>TEXT(Table1[[#This Row],[ESTMARA EXPIRE DATE HIGRI]],"b1mm/dd/yyyy")</f>
        <v>no</v>
      </c>
    </row>
    <row r="69" spans="1:6" ht="19.95" customHeight="1" x14ac:dyDescent="0.65">
      <c r="A69" s="4">
        <v>68</v>
      </c>
      <c r="B69" s="4" t="s">
        <v>111</v>
      </c>
      <c r="C69" s="10" t="s">
        <v>121</v>
      </c>
      <c r="D69" s="5" t="str">
        <f>TEXT(Table1[[#This Row],[MVPI EXPIRE DATE HIGRI]],"b1mm/dd/yyyy")</f>
        <v>N/A</v>
      </c>
      <c r="E69" s="17" t="s">
        <v>120</v>
      </c>
      <c r="F69" s="5" t="str">
        <f>TEXT(Table1[[#This Row],[ESTMARA EXPIRE DATE HIGRI]],"b1mm/dd/yyyy")</f>
        <v>no</v>
      </c>
    </row>
    <row r="70" spans="1:6" ht="19.95" customHeight="1" x14ac:dyDescent="0.65">
      <c r="A70" s="4">
        <v>69</v>
      </c>
      <c r="B70" s="4" t="s">
        <v>112</v>
      </c>
      <c r="C70" s="10" t="s">
        <v>121</v>
      </c>
      <c r="D70" s="5" t="str">
        <f>TEXT(Table1[[#This Row],[MVPI EXPIRE DATE HIGRI]],"b1mm/dd/yyyy")</f>
        <v>N/A</v>
      </c>
      <c r="E70" s="17" t="s">
        <v>120</v>
      </c>
      <c r="F70" s="5" t="str">
        <f>TEXT(Table1[[#This Row],[ESTMARA EXPIRE DATE HIGRI]],"b1mm/dd/yyyy")</f>
        <v>no</v>
      </c>
    </row>
    <row r="71" spans="1:6" ht="19.95" customHeight="1" x14ac:dyDescent="0.65">
      <c r="A71" s="4">
        <v>70</v>
      </c>
      <c r="B71" s="4" t="s">
        <v>113</v>
      </c>
      <c r="C71" s="10" t="s">
        <v>121</v>
      </c>
      <c r="D71" s="5" t="str">
        <f>TEXT(Table1[[#This Row],[MVPI EXPIRE DATE HIGRI]],"b1mm/dd/yyyy")</f>
        <v>N/A</v>
      </c>
      <c r="E71" s="17" t="s">
        <v>120</v>
      </c>
      <c r="F71" s="5" t="str">
        <f>TEXT(Table1[[#This Row],[ESTMARA EXPIRE DATE HIGRI]],"b1mm/dd/yyyy")</f>
        <v>no</v>
      </c>
    </row>
    <row r="72" spans="1:6" ht="19.95" customHeight="1" x14ac:dyDescent="0.65">
      <c r="A72" s="4">
        <v>71</v>
      </c>
      <c r="B72" s="4" t="s">
        <v>114</v>
      </c>
      <c r="C72" s="10" t="s">
        <v>121</v>
      </c>
      <c r="D72" s="5" t="str">
        <f>TEXT(Table1[[#This Row],[MVPI EXPIRE DATE HIGRI]],"b1mm/dd/yyyy")</f>
        <v>N/A</v>
      </c>
      <c r="E72" s="17" t="s">
        <v>120</v>
      </c>
      <c r="F72" s="5" t="str">
        <f>TEXT(Table1[[#This Row],[ESTMARA EXPIRE DATE HIGRI]],"b1mm/dd/yyyy")</f>
        <v>no</v>
      </c>
    </row>
    <row r="73" spans="1:6" ht="19.95" customHeight="1" x14ac:dyDescent="0.65">
      <c r="A73" s="4">
        <v>72</v>
      </c>
      <c r="B73" s="4" t="s">
        <v>115</v>
      </c>
      <c r="C73" s="10" t="s">
        <v>121</v>
      </c>
      <c r="D73" s="5" t="str">
        <f>TEXT(Table1[[#This Row],[MVPI EXPIRE DATE HIGRI]],"b1mm/dd/yyyy")</f>
        <v>N/A</v>
      </c>
      <c r="E73" s="17" t="s">
        <v>120</v>
      </c>
      <c r="F73" s="5" t="str">
        <f>TEXT(Table1[[#This Row],[ESTMARA EXPIRE DATE HIGRI]],"b1mm/dd/yyyy")</f>
        <v>no</v>
      </c>
    </row>
    <row r="74" spans="1:6" ht="19.95" customHeight="1" x14ac:dyDescent="0.65">
      <c r="A74" s="4">
        <v>73</v>
      </c>
      <c r="B74" s="4" t="s">
        <v>116</v>
      </c>
      <c r="C74" s="10" t="s">
        <v>121</v>
      </c>
      <c r="D74" s="5" t="str">
        <f>TEXT(Table1[[#This Row],[MVPI EXPIRE DATE HIGRI]],"b1mm/dd/yyyy")</f>
        <v>N/A</v>
      </c>
      <c r="E74" s="17" t="s">
        <v>120</v>
      </c>
      <c r="F74" s="5" t="str">
        <f>TEXT(Table1[[#This Row],[ESTMARA EXPIRE DATE HIGRI]],"b1mm/dd/yyyy")</f>
        <v>no</v>
      </c>
    </row>
    <row r="75" spans="1:6" ht="19.95" customHeight="1" x14ac:dyDescent="0.65">
      <c r="A75" s="4">
        <v>74</v>
      </c>
      <c r="B75" s="4" t="s">
        <v>117</v>
      </c>
      <c r="C75" s="10" t="s">
        <v>121</v>
      </c>
      <c r="D75" s="5" t="str">
        <f>TEXT(Table1[[#This Row],[MVPI EXPIRE DATE HIGRI]],"b1mm/dd/yyyy")</f>
        <v>N/A</v>
      </c>
      <c r="E75" s="17" t="s">
        <v>120</v>
      </c>
      <c r="F75" s="5" t="str">
        <f>TEXT(Table1[[#This Row],[ESTMARA EXPIRE DATE HIGRI]],"b1mm/dd/yyyy")</f>
        <v>no</v>
      </c>
    </row>
    <row r="76" spans="1:6" ht="19.95" customHeight="1" x14ac:dyDescent="0.65">
      <c r="A76" s="4">
        <v>75</v>
      </c>
      <c r="B76" s="4" t="s">
        <v>118</v>
      </c>
      <c r="C76" s="10" t="s">
        <v>121</v>
      </c>
      <c r="D76" s="5" t="str">
        <f>TEXT(Table1[[#This Row],[MVPI EXPIRE DATE HIGRI]],"b1mm/dd/yyyy")</f>
        <v>N/A</v>
      </c>
      <c r="E76" s="17" t="s">
        <v>120</v>
      </c>
      <c r="F76" s="5" t="str">
        <f>TEXT(Table1[[#This Row],[ESTMARA EXPIRE DATE HIGRI]],"b1mm/dd/yyyy")</f>
        <v>no</v>
      </c>
    </row>
    <row r="77" spans="1:6" ht="19.95" customHeight="1" x14ac:dyDescent="0.65">
      <c r="A77" s="4">
        <v>76</v>
      </c>
      <c r="B77" s="4" t="s">
        <v>5</v>
      </c>
      <c r="C77" s="10" t="s">
        <v>121</v>
      </c>
      <c r="D77" s="5" t="str">
        <f>TEXT(Table1[[#This Row],[MVPI EXPIRE DATE HIGRI]],"b1mm/dd/yyyy")</f>
        <v>N/A</v>
      </c>
      <c r="E77" s="15">
        <v>44070</v>
      </c>
      <c r="F77" s="5" t="str">
        <f>TEXT(Table1[[#This Row],[ESTMARA EXPIRE DATE HIGRI]],"b1mm/dd/yyyy")</f>
        <v>08/27/2020</v>
      </c>
    </row>
    <row r="78" spans="1:6" ht="19.95" customHeight="1" x14ac:dyDescent="0.65">
      <c r="A78" s="4">
        <v>77</v>
      </c>
      <c r="B78" s="4" t="s">
        <v>6</v>
      </c>
      <c r="C78" s="10" t="s">
        <v>121</v>
      </c>
      <c r="D78" s="5" t="str">
        <f>TEXT(Table1[[#This Row],[MVPI EXPIRE DATE HIGRI]],"b1mm/dd/yyyy")</f>
        <v>N/A</v>
      </c>
      <c r="E78" s="15">
        <v>44070</v>
      </c>
      <c r="F78" s="5" t="str">
        <f>TEXT(Table1[[#This Row],[ESTMARA EXPIRE DATE HIGRI]],"b1mm/dd/yyyy")</f>
        <v>08/27/2020</v>
      </c>
    </row>
    <row r="79" spans="1:6" ht="19.95" customHeight="1" x14ac:dyDescent="0.65">
      <c r="A79" s="4">
        <v>78</v>
      </c>
      <c r="B79" s="7" t="s">
        <v>29</v>
      </c>
      <c r="C79" s="12">
        <v>43545</v>
      </c>
      <c r="D79" s="5" t="str">
        <f>TEXT(Table1[[#This Row],[MVPI EXPIRE DATE HIGRI]],"b1mm/dd/yyyy")</f>
        <v>03/21/2019</v>
      </c>
      <c r="E79" s="15">
        <v>44297</v>
      </c>
      <c r="F79" s="5" t="str">
        <f>TEXT(Table1[[#This Row],[ESTMARA EXPIRE DATE HIGRI]],"b1mm/dd/yyyy")</f>
        <v>04/11/2021</v>
      </c>
    </row>
    <row r="80" spans="1:6" ht="19.95" customHeight="1" x14ac:dyDescent="0.65">
      <c r="A80" s="4">
        <v>79</v>
      </c>
      <c r="B80" s="4" t="s">
        <v>17</v>
      </c>
      <c r="C80" s="11">
        <v>44179</v>
      </c>
      <c r="D80" s="5" t="str">
        <f>TEXT(Table1[[#This Row],[MVPI EXPIRE DATE HIGRI]],"b1mm/dd/yyyy")</f>
        <v>12/14/2020</v>
      </c>
      <c r="E80" s="15">
        <v>43964</v>
      </c>
      <c r="F80" s="5" t="str">
        <f>TEXT(Table1[[#This Row],[ESTMARA EXPIRE DATE HIGRI]],"b1mm/dd/yyyy")</f>
        <v>05/13/2020</v>
      </c>
    </row>
    <row r="81" spans="1:6" ht="19.95" customHeight="1" x14ac:dyDescent="0.65">
      <c r="A81" s="4">
        <v>80</v>
      </c>
      <c r="B81" s="4" t="s">
        <v>18</v>
      </c>
      <c r="C81" s="12">
        <v>42442</v>
      </c>
      <c r="D81" s="5" t="str">
        <f>TEXT(Table1[[#This Row],[MVPI EXPIRE DATE HIGRI]],"b1mm/dd/yyyy")</f>
        <v>03/13/2016</v>
      </c>
      <c r="E81" s="16">
        <v>43148</v>
      </c>
      <c r="F81" s="5" t="str">
        <f>TEXT(Table1[[#This Row],[ESTMARA EXPIRE DATE HIGRI]],"b1mm/dd/yyyy")</f>
        <v>02/17/2018</v>
      </c>
    </row>
    <row r="82" spans="1:6" ht="19.95" customHeight="1" x14ac:dyDescent="0.65">
      <c r="A82" s="4">
        <v>81</v>
      </c>
      <c r="B82" s="4" t="s">
        <v>19</v>
      </c>
      <c r="C82" s="12">
        <v>43764</v>
      </c>
      <c r="D82" s="5" t="str">
        <f>TEXT(Table1[[#This Row],[MVPI EXPIRE DATE HIGRI]],"b1mm/dd/yyyy")</f>
        <v>10/26/2019</v>
      </c>
      <c r="E82" s="15">
        <v>43933</v>
      </c>
      <c r="F82" s="5" t="str">
        <f>TEXT(Table1[[#This Row],[ESTMARA EXPIRE DATE HIGRI]],"b1mm/dd/yyyy")</f>
        <v>04/12/2020</v>
      </c>
    </row>
    <row r="83" spans="1:6" ht="19.95" customHeight="1" x14ac:dyDescent="0.65">
      <c r="A83" s="4">
        <v>82</v>
      </c>
      <c r="B83" s="4" t="s">
        <v>20</v>
      </c>
      <c r="C83" s="12">
        <v>43538</v>
      </c>
      <c r="D83" s="5" t="str">
        <f>TEXT(Table1[[#This Row],[MVPI EXPIRE DATE HIGRI]],"b1mm/dd/yyyy")</f>
        <v>03/14/2019</v>
      </c>
      <c r="E83" s="16">
        <v>43812</v>
      </c>
      <c r="F83" s="5" t="str">
        <f>TEXT(Table1[[#This Row],[ESTMARA EXPIRE DATE HIGRI]],"b1mm/dd/yyyy")</f>
        <v>12/13/2019</v>
      </c>
    </row>
    <row r="84" spans="1:6" ht="19.95" customHeight="1" x14ac:dyDescent="0.65">
      <c r="A84" s="4">
        <v>83</v>
      </c>
      <c r="B84" s="4" t="s">
        <v>30</v>
      </c>
      <c r="C84" s="12">
        <v>43517</v>
      </c>
      <c r="D84" s="5" t="str">
        <f>TEXT(Table1[[#This Row],[MVPI EXPIRE DATE HIGRI]],"b1mm/dd/yyyy")</f>
        <v>02/21/2019</v>
      </c>
      <c r="E84" s="15">
        <v>44149</v>
      </c>
      <c r="F84" s="5" t="str">
        <f>TEXT(Table1[[#This Row],[ESTMARA EXPIRE DATE HIGRI]],"b1mm/dd/yyyy")</f>
        <v>11/14/2020</v>
      </c>
    </row>
    <row r="85" spans="1:6" ht="19.95" customHeight="1" x14ac:dyDescent="0.65">
      <c r="A85" s="4">
        <v>84</v>
      </c>
      <c r="B85" s="4" t="s">
        <v>21</v>
      </c>
      <c r="C85" s="12">
        <v>43448</v>
      </c>
      <c r="D85" s="5" t="str">
        <f>TEXT(Table1[[#This Row],[MVPI EXPIRE DATE HIGRI]],"b1mm/dd/yyyy")</f>
        <v>12/14/2018</v>
      </c>
      <c r="E85" s="15">
        <v>44122</v>
      </c>
      <c r="F85" s="5" t="str">
        <f>TEXT(Table1[[#This Row],[ESTMARA EXPIRE DATE HIGRI]],"b1mm/dd/yyyy")</f>
        <v>10/18/2020</v>
      </c>
    </row>
    <row r="86" spans="1:6" ht="19.95" customHeight="1" x14ac:dyDescent="0.65">
      <c r="A86" s="4">
        <v>85</v>
      </c>
      <c r="B86" s="4" t="s">
        <v>22</v>
      </c>
      <c r="C86" s="11">
        <v>44133</v>
      </c>
      <c r="D86" s="5" t="str">
        <f>TEXT(Table1[[#This Row],[MVPI EXPIRE DATE HIGRI]],"b1mm/dd/yyyy")</f>
        <v>10/29/2020</v>
      </c>
      <c r="E86" s="16">
        <v>43817</v>
      </c>
      <c r="F86" s="5" t="str">
        <f>TEXT(Table1[[#This Row],[ESTMARA EXPIRE DATE HIGRI]],"b1mm/dd/yyyy")</f>
        <v>12/18/2019</v>
      </c>
    </row>
    <row r="87" spans="1:6" ht="19.95" customHeight="1" x14ac:dyDescent="0.65">
      <c r="A87" s="4">
        <v>86</v>
      </c>
      <c r="B87" s="4" t="s">
        <v>23</v>
      </c>
      <c r="C87" s="11">
        <v>44158</v>
      </c>
      <c r="D87" s="5" t="str">
        <f>TEXT(Table1[[#This Row],[MVPI EXPIRE DATE HIGRI]],"b1mm/dd/yyyy")</f>
        <v>11/23/2020</v>
      </c>
      <c r="E87" s="16">
        <v>43817</v>
      </c>
      <c r="F87" s="5" t="str">
        <f>TEXT(Table1[[#This Row],[ESTMARA EXPIRE DATE HIGRI]],"b1mm/dd/yyyy")</f>
        <v>12/18/2019</v>
      </c>
    </row>
    <row r="88" spans="1:6" ht="19.95" customHeight="1" x14ac:dyDescent="0.65">
      <c r="A88" s="4">
        <v>87</v>
      </c>
      <c r="B88" s="4" t="s">
        <v>24</v>
      </c>
      <c r="C88" s="12">
        <v>43603</v>
      </c>
      <c r="D88" s="5" t="str">
        <f>TEXT(Table1[[#This Row],[MVPI EXPIRE DATE HIGRI]],"b1mm/dd/yyyy")</f>
        <v>05/18/2019</v>
      </c>
      <c r="E88" s="15">
        <v>43964</v>
      </c>
      <c r="F88" s="5" t="str">
        <f>TEXT(Table1[[#This Row],[ESTMARA EXPIRE DATE HIGRI]],"b1mm/dd/yyyy")</f>
        <v>05/13/2020</v>
      </c>
    </row>
    <row r="89" spans="1:6" ht="19.95" customHeight="1" x14ac:dyDescent="0.65">
      <c r="A89" s="4">
        <v>88</v>
      </c>
      <c r="B89" s="4" t="s">
        <v>0</v>
      </c>
      <c r="C89" s="12">
        <v>42042</v>
      </c>
      <c r="D89" s="5" t="str">
        <f>TEXT(Table1[[#This Row],[MVPI EXPIRE DATE HIGRI]],"b1mm/dd/yyyy")</f>
        <v>02/07/2015</v>
      </c>
      <c r="E89" s="16">
        <v>42901</v>
      </c>
      <c r="F89" s="5" t="str">
        <f>TEXT(Table1[[#This Row],[ESTMARA EXPIRE DATE HIGRI]],"b1mm/dd/yyyy")</f>
        <v>06/15/2017</v>
      </c>
    </row>
    <row r="90" spans="1:6" ht="19.95" customHeight="1" x14ac:dyDescent="0.65">
      <c r="A90" s="4">
        <v>89</v>
      </c>
      <c r="B90" s="4" t="s">
        <v>1</v>
      </c>
      <c r="C90" s="12">
        <v>43804</v>
      </c>
      <c r="D90" s="5" t="str">
        <f>TEXT(Table1[[#This Row],[MVPI EXPIRE DATE HIGRI]],"b1mm/dd/yyyy")</f>
        <v>12/05/2019</v>
      </c>
      <c r="E90" s="15">
        <v>43964</v>
      </c>
      <c r="F90" s="5" t="str">
        <f>TEXT(Table1[[#This Row],[ESTMARA EXPIRE DATE HIGRI]],"b1mm/dd/yyyy")</f>
        <v>05/13/2020</v>
      </c>
    </row>
    <row r="91" spans="1:6" ht="19.95" customHeight="1" x14ac:dyDescent="0.65">
      <c r="A91" s="4">
        <v>90</v>
      </c>
      <c r="B91" s="4" t="s">
        <v>2</v>
      </c>
      <c r="C91" s="12">
        <v>43022</v>
      </c>
      <c r="D91" s="5" t="str">
        <f>TEXT(Table1[[#This Row],[MVPI EXPIRE DATE HIGRI]],"b1mm/dd/yyyy")</f>
        <v>10/14/2017</v>
      </c>
      <c r="E91" s="16">
        <v>43712</v>
      </c>
      <c r="F91" s="5" t="str">
        <f>TEXT(Table1[[#This Row],[ESTMARA EXPIRE DATE HIGRI]],"b1mm/dd/yyyy")</f>
        <v>09/04/2019</v>
      </c>
    </row>
    <row r="92" spans="1:6" ht="19.95" customHeight="1" x14ac:dyDescent="0.65">
      <c r="A92" s="4">
        <v>91</v>
      </c>
      <c r="B92" s="4" t="s">
        <v>3</v>
      </c>
      <c r="C92" s="11">
        <v>44154</v>
      </c>
      <c r="D92" s="5" t="str">
        <f>TEXT(Table1[[#This Row],[MVPI EXPIRE DATE HIGRI]],"b1mm/dd/yyyy")</f>
        <v>11/19/2020</v>
      </c>
      <c r="E92" s="15">
        <v>43960</v>
      </c>
      <c r="F92" s="5" t="str">
        <f>TEXT(Table1[[#This Row],[ESTMARA EXPIRE DATE HIGRI]],"b1mm/dd/yyyy")</f>
        <v>05/09/2020</v>
      </c>
    </row>
    <row r="93" spans="1:6" ht="19.95" customHeight="1" x14ac:dyDescent="0.65">
      <c r="A93" s="4">
        <v>92</v>
      </c>
      <c r="B93" s="4" t="s">
        <v>4</v>
      </c>
      <c r="C93" s="12">
        <v>43559</v>
      </c>
      <c r="D93" s="5" t="str">
        <f>TEXT(Table1[[#This Row],[MVPI EXPIRE DATE HIGRI]],"b1mm/dd/yyyy")</f>
        <v>04/04/2019</v>
      </c>
      <c r="E93" s="15">
        <v>43960</v>
      </c>
      <c r="F93" s="5" t="str">
        <f>TEXT(Table1[[#This Row],[ESTMARA EXPIRE DATE HIGRI]],"b1mm/dd/yyyy")</f>
        <v>05/09/2020</v>
      </c>
    </row>
    <row r="94" spans="1:6" ht="19.95" customHeight="1" x14ac:dyDescent="0.65">
      <c r="A94" s="4">
        <v>93</v>
      </c>
      <c r="B94" s="4" t="s">
        <v>31</v>
      </c>
      <c r="C94" s="12">
        <v>42198</v>
      </c>
      <c r="D94" s="5" t="str">
        <f>TEXT(Table1[[#This Row],[MVPI EXPIRE DATE HIGRI]],"b1mm/dd/yyyy")</f>
        <v>07/13/2015</v>
      </c>
      <c r="E94" s="15">
        <v>43936</v>
      </c>
      <c r="F94" s="5" t="str">
        <f>TEXT(Table1[[#This Row],[ESTMARA EXPIRE DATE HIGRI]],"b1mm/dd/yyyy")</f>
        <v>04/15/2020</v>
      </c>
    </row>
    <row r="95" spans="1:6" ht="19.95" customHeight="1" x14ac:dyDescent="0.65">
      <c r="A95" s="4">
        <v>94</v>
      </c>
      <c r="B95" s="4" t="s">
        <v>32</v>
      </c>
      <c r="C95" s="12">
        <v>42287</v>
      </c>
      <c r="D95" s="5" t="str">
        <f>TEXT(Table1[[#This Row],[MVPI EXPIRE DATE HIGRI]],"b1mm/dd/yyyy")</f>
        <v>10/10/2015</v>
      </c>
      <c r="E95" s="16">
        <v>42873</v>
      </c>
      <c r="F95" s="5" t="str">
        <f>TEXT(Table1[[#This Row],[ESTMARA EXPIRE DATE HIGRI]],"b1mm/dd/yyyy")</f>
        <v>05/18/2017</v>
      </c>
    </row>
    <row r="96" spans="1:6" ht="19.95" customHeight="1" x14ac:dyDescent="0.65">
      <c r="A96" s="4">
        <v>95</v>
      </c>
      <c r="B96" s="4" t="s">
        <v>33</v>
      </c>
      <c r="C96" s="11">
        <v>44186</v>
      </c>
      <c r="D96" s="5" t="str">
        <f>TEXT(Table1[[#This Row],[MVPI EXPIRE DATE HIGRI]],"b1mm/dd/yyyy")</f>
        <v>12/21/2020</v>
      </c>
      <c r="E96" s="15">
        <v>44215</v>
      </c>
      <c r="F96" s="5" t="str">
        <f>TEXT(Table1[[#This Row],[ESTMARA EXPIRE DATE HIGRI]],"b1mm/dd/yyyy")</f>
        <v>01/19/2021</v>
      </c>
    </row>
    <row r="97" spans="1:6" ht="19.95" customHeight="1" x14ac:dyDescent="0.65">
      <c r="A97" s="4">
        <v>96</v>
      </c>
      <c r="B97" s="4" t="s">
        <v>34</v>
      </c>
      <c r="C97" s="12">
        <v>43223</v>
      </c>
      <c r="D97" s="5" t="str">
        <f>TEXT(Table1[[#This Row],[MVPI EXPIRE DATE HIGRI]],"b1mm/dd/yyyy")</f>
        <v>05/03/2018</v>
      </c>
      <c r="E97" s="15">
        <v>43930</v>
      </c>
      <c r="F97" s="5" t="str">
        <f>TEXT(Table1[[#This Row],[ESTMARA EXPIRE DATE HIGRI]],"b1mm/dd/yyyy")</f>
        <v>04/09/2020</v>
      </c>
    </row>
    <row r="98" spans="1:6" ht="19.95" customHeight="1" x14ac:dyDescent="0.65">
      <c r="A98" s="4">
        <v>97</v>
      </c>
      <c r="B98" s="4" t="s">
        <v>35</v>
      </c>
      <c r="C98" s="12">
        <v>43350</v>
      </c>
      <c r="D98" s="5" t="str">
        <f>TEXT(Table1[[#This Row],[MVPI EXPIRE DATE HIGRI]],"b1mm/dd/yyyy")</f>
        <v>09/07/2018</v>
      </c>
      <c r="E98" s="15">
        <v>43936</v>
      </c>
      <c r="F98" s="5" t="str">
        <f>TEXT(Table1[[#This Row],[ESTMARA EXPIRE DATE HIGRI]],"b1mm/dd/yyyy")</f>
        <v>04/15/2020</v>
      </c>
    </row>
    <row r="99" spans="1:6" ht="19.95" customHeight="1" x14ac:dyDescent="0.65">
      <c r="A99" s="4">
        <v>98</v>
      </c>
      <c r="B99" s="4" t="s">
        <v>36</v>
      </c>
      <c r="C99" s="12">
        <v>43591</v>
      </c>
      <c r="D99" s="5" t="str">
        <f>TEXT(Table1[[#This Row],[MVPI EXPIRE DATE HIGRI]],"b1mm/dd/yyyy")</f>
        <v>05/06/2019</v>
      </c>
      <c r="E99" s="15">
        <v>44296</v>
      </c>
      <c r="F99" s="5" t="str">
        <f>TEXT(Table1[[#This Row],[ESTMARA EXPIRE DATE HIGRI]],"b1mm/dd/yyyy")</f>
        <v>04/10/2021</v>
      </c>
    </row>
    <row r="100" spans="1:6" ht="19.95" customHeight="1" x14ac:dyDescent="0.65">
      <c r="A100" s="4">
        <v>99</v>
      </c>
      <c r="B100" s="4" t="s">
        <v>37</v>
      </c>
      <c r="C100" s="12">
        <v>43715</v>
      </c>
      <c r="D100" s="5" t="str">
        <f>TEXT(Table1[[#This Row],[MVPI EXPIRE DATE HIGRI]],"b1mm/dd/yyyy")</f>
        <v>09/07/2019</v>
      </c>
      <c r="E100" s="15">
        <v>44418</v>
      </c>
      <c r="F100" s="5" t="str">
        <f>TEXT(Table1[[#This Row],[ESTMARA EXPIRE DATE HIGRI]],"b1mm/dd/yyyy")</f>
        <v>08/10/2021</v>
      </c>
    </row>
    <row r="101" spans="1:6" ht="19.95" customHeight="1" x14ac:dyDescent="0.65">
      <c r="A101" s="4">
        <v>100</v>
      </c>
      <c r="B101" s="4" t="s">
        <v>38</v>
      </c>
      <c r="C101" s="12">
        <v>43674</v>
      </c>
      <c r="D101" s="5" t="str">
        <f>TEXT(Table1[[#This Row],[MVPI EXPIRE DATE HIGRI]],"b1mm/dd/yyyy")</f>
        <v>07/28/2019</v>
      </c>
      <c r="E101" s="15">
        <v>44279</v>
      </c>
      <c r="F101" s="5" t="str">
        <f>TEXT(Table1[[#This Row],[ESTMARA EXPIRE DATE HIGRI]],"b1mm/dd/yyyy")</f>
        <v>03/24/2021</v>
      </c>
    </row>
    <row r="102" spans="1:6" ht="19.95" customHeight="1" x14ac:dyDescent="0.65">
      <c r="A102" s="4">
        <v>101</v>
      </c>
      <c r="B102" s="4" t="s">
        <v>25</v>
      </c>
      <c r="C102" s="12">
        <v>42450</v>
      </c>
      <c r="D102" s="5" t="str">
        <f>TEXT(Table1[[#This Row],[MVPI EXPIRE DATE HIGRI]],"b1mm/dd/yyyy")</f>
        <v>03/21/2016</v>
      </c>
      <c r="E102" s="15">
        <v>43936</v>
      </c>
      <c r="F102" s="5" t="str">
        <f>TEXT(Table1[[#This Row],[ESTMARA EXPIRE DATE HIGRI]],"b1mm/dd/yyyy")</f>
        <v>04/15/2020</v>
      </c>
    </row>
    <row r="103" spans="1:6" ht="19.95" customHeight="1" x14ac:dyDescent="0.65">
      <c r="A103" s="4">
        <v>102</v>
      </c>
      <c r="B103" s="4" t="s">
        <v>26</v>
      </c>
      <c r="C103" s="12">
        <v>42352</v>
      </c>
      <c r="D103" s="5" t="str">
        <f>TEXT(Table1[[#This Row],[MVPI EXPIRE DATE HIGRI]],"b1mm/dd/yyyy")</f>
        <v>12/14/2015</v>
      </c>
      <c r="E103" s="15">
        <v>44133</v>
      </c>
      <c r="F103" s="5" t="str">
        <f>TEXT(Table1[[#This Row],[ESTMARA EXPIRE DATE HIGRI]],"b1mm/dd/yyyy")</f>
        <v>10/29/2020</v>
      </c>
    </row>
    <row r="104" spans="1:6" ht="19.95" customHeight="1" x14ac:dyDescent="0.65">
      <c r="A104" s="4">
        <v>103</v>
      </c>
      <c r="B104" s="4" t="s">
        <v>27</v>
      </c>
      <c r="C104" s="12">
        <v>42123</v>
      </c>
      <c r="D104" s="5" t="str">
        <f>TEXT(Table1[[#This Row],[MVPI EXPIRE DATE HIGRI]],"b1mm/dd/yyyy")</f>
        <v>04/29/2015</v>
      </c>
      <c r="E104" s="15">
        <v>43917</v>
      </c>
      <c r="F104" s="5" t="str">
        <f>TEXT(Table1[[#This Row],[ESTMARA EXPIRE DATE HIGRI]],"b1mm/dd/yyyy")</f>
        <v>03/27/2020</v>
      </c>
    </row>
    <row r="105" spans="1:6" ht="19.95" customHeight="1" x14ac:dyDescent="0.65">
      <c r="A105" s="4">
        <v>104</v>
      </c>
      <c r="B105" s="4" t="s">
        <v>28</v>
      </c>
      <c r="C105" s="12">
        <v>43683</v>
      </c>
      <c r="D105" s="5" t="str">
        <f>TEXT(Table1[[#This Row],[MVPI EXPIRE DATE HIGRI]],"b1mm/dd/yyyy")</f>
        <v>08/06/2019</v>
      </c>
      <c r="E105" s="15">
        <v>44060</v>
      </c>
      <c r="F105" s="5" t="str">
        <f>TEXT(Table1[[#This Row],[ESTMARA EXPIRE DATE HIGRI]],"b1mm/dd/yyyy")</f>
        <v>08/17/2020</v>
      </c>
    </row>
    <row r="106" spans="1:6" ht="19.95" customHeight="1" x14ac:dyDescent="0.65">
      <c r="A106" s="4">
        <v>105</v>
      </c>
      <c r="B106" s="4" t="s">
        <v>7</v>
      </c>
      <c r="C106" s="10" t="s">
        <v>121</v>
      </c>
      <c r="D106" s="5" t="str">
        <f>TEXT(Table1[[#This Row],[MVPI EXPIRE DATE HIGRI]],"b1mm/dd/yyyy")</f>
        <v>N/A</v>
      </c>
      <c r="E106" s="15">
        <v>44070</v>
      </c>
      <c r="F106" s="5" t="str">
        <f>TEXT(Table1[[#This Row],[ESTMARA EXPIRE DATE HIGRI]],"b1mm/dd/yyyy")</f>
        <v>08/27/2020</v>
      </c>
    </row>
    <row r="107" spans="1:6" ht="19.95" customHeight="1" x14ac:dyDescent="0.65">
      <c r="A107" s="4">
        <v>106</v>
      </c>
      <c r="B107" s="4" t="s">
        <v>8</v>
      </c>
      <c r="C107" s="10" t="s">
        <v>121</v>
      </c>
      <c r="D107" s="5" t="str">
        <f>TEXT(Table1[[#This Row],[MVPI EXPIRE DATE HIGRI]],"b1mm/dd/yyyy")</f>
        <v>N/A</v>
      </c>
      <c r="E107" s="15">
        <v>44070</v>
      </c>
      <c r="F107" s="5" t="str">
        <f>TEXT(Table1[[#This Row],[ESTMARA EXPIRE DATE HIGRI]],"b1mm/dd/yyyy")</f>
        <v>08/27/2020</v>
      </c>
    </row>
    <row r="108" spans="1:6" ht="19.95" customHeight="1" x14ac:dyDescent="0.65">
      <c r="A108" s="4">
        <v>107</v>
      </c>
      <c r="B108" s="4" t="s">
        <v>13</v>
      </c>
      <c r="C108" s="10" t="s">
        <v>121</v>
      </c>
      <c r="D108" s="5" t="str">
        <f>TEXT(Table1[[#This Row],[MVPI EXPIRE DATE HIGRI]],"b1mm/dd/yyyy")</f>
        <v>N/A</v>
      </c>
      <c r="E108" s="15">
        <v>44093</v>
      </c>
      <c r="F108" s="5" t="str">
        <f>TEXT(Table1[[#This Row],[ESTMARA EXPIRE DATE HIGRI]],"b1mm/dd/yyyy")</f>
        <v>09/19/2020</v>
      </c>
    </row>
    <row r="109" spans="1:6" ht="19.95" customHeight="1" x14ac:dyDescent="0.65">
      <c r="A109" s="4">
        <v>108</v>
      </c>
      <c r="B109" s="4" t="s">
        <v>39</v>
      </c>
      <c r="C109" s="12">
        <v>43500</v>
      </c>
      <c r="D109" s="5" t="str">
        <f>TEXT(Table1[[#This Row],[MVPI EXPIRE DATE HIGRI]],"b1mm/dd/yyyy")</f>
        <v>02/04/2019</v>
      </c>
      <c r="E109" s="15">
        <v>43937</v>
      </c>
      <c r="F109" s="5" t="str">
        <f>TEXT(Table1[[#This Row],[ESTMARA EXPIRE DATE HIGRI]],"b1mm/dd/yyyy")</f>
        <v>04/16/2020</v>
      </c>
    </row>
    <row r="110" spans="1:6" ht="19.95" customHeight="1" x14ac:dyDescent="0.65">
      <c r="A110" s="4">
        <v>109</v>
      </c>
      <c r="B110" s="4" t="s">
        <v>40</v>
      </c>
      <c r="C110" s="12">
        <v>43363</v>
      </c>
      <c r="D110" s="5" t="str">
        <f>TEXT(Table1[[#This Row],[MVPI EXPIRE DATE HIGRI]],"b1mm/dd/yyyy")</f>
        <v>09/20/2018</v>
      </c>
      <c r="E110" s="15">
        <v>43951</v>
      </c>
      <c r="F110" s="5" t="str">
        <f>TEXT(Table1[[#This Row],[ESTMARA EXPIRE DATE HIGRI]],"b1mm/dd/yyyy")</f>
        <v>04/30/2020</v>
      </c>
    </row>
    <row r="111" spans="1:6" ht="19.95" customHeight="1" x14ac:dyDescent="0.65">
      <c r="A111" s="4">
        <v>110</v>
      </c>
      <c r="B111" s="4" t="s">
        <v>41</v>
      </c>
      <c r="C111" s="12">
        <v>43412</v>
      </c>
      <c r="D111" s="5" t="str">
        <f>TEXT(Table1[[#This Row],[MVPI EXPIRE DATE HIGRI]],"b1mm/dd/yyyy")</f>
        <v>11/08/2018</v>
      </c>
      <c r="E111" s="15">
        <v>44025</v>
      </c>
      <c r="F111" s="5" t="str">
        <f>TEXT(Table1[[#This Row],[ESTMARA EXPIRE DATE HIGRI]],"b1mm/dd/yyyy")</f>
        <v>07/13/2020</v>
      </c>
    </row>
    <row r="112" spans="1:6" ht="19.95" customHeight="1" x14ac:dyDescent="0.65">
      <c r="A112" s="4">
        <v>111</v>
      </c>
      <c r="B112" s="4" t="s">
        <v>42</v>
      </c>
      <c r="C112" s="12">
        <v>43596</v>
      </c>
      <c r="D112" s="5" t="str">
        <f>TEXT(Table1[[#This Row],[MVPI EXPIRE DATE HIGRI]],"b1mm/dd/yyyy")</f>
        <v>05/11/2019</v>
      </c>
      <c r="E112" s="16">
        <v>43754</v>
      </c>
      <c r="F112" s="5" t="str">
        <f>TEXT(Table1[[#This Row],[ESTMARA EXPIRE DATE HIGRI]],"b1mm/dd/yyyy")</f>
        <v>10/16/2019</v>
      </c>
    </row>
    <row r="113" spans="1:6" ht="19.95" customHeight="1" x14ac:dyDescent="0.65">
      <c r="A113" s="4">
        <v>112</v>
      </c>
      <c r="B113" s="4" t="s">
        <v>43</v>
      </c>
      <c r="C113" s="12">
        <v>43427</v>
      </c>
      <c r="D113" s="5" t="str">
        <f>TEXT(Table1[[#This Row],[MVPI EXPIRE DATE HIGRI]],"b1mm/dd/yyyy")</f>
        <v>11/23/2018</v>
      </c>
      <c r="E113" s="16">
        <v>43754</v>
      </c>
      <c r="F113" s="5" t="str">
        <f>TEXT(Table1[[#This Row],[ESTMARA EXPIRE DATE HIGRI]],"b1mm/dd/yyyy")</f>
        <v>10/16/2019</v>
      </c>
    </row>
    <row r="114" spans="1:6" ht="19.95" customHeight="1" x14ac:dyDescent="0.65">
      <c r="A114" s="4">
        <v>113</v>
      </c>
      <c r="B114" s="4" t="s">
        <v>44</v>
      </c>
      <c r="C114" s="12">
        <v>42673</v>
      </c>
      <c r="D114" s="5" t="str">
        <f>TEXT(Table1[[#This Row],[MVPI EXPIRE DATE HIGRI]],"b1mm/dd/yyyy")</f>
        <v>10/30/2016</v>
      </c>
      <c r="E114" s="16">
        <v>43593</v>
      </c>
      <c r="F114" s="5" t="str">
        <f>TEXT(Table1[[#This Row],[ESTMARA EXPIRE DATE HIGRI]],"b1mm/dd/yyyy")</f>
        <v>05/08/2019</v>
      </c>
    </row>
    <row r="115" spans="1:6" ht="19.95" customHeight="1" x14ac:dyDescent="0.65">
      <c r="A115" s="4">
        <v>114</v>
      </c>
      <c r="B115" s="4" t="s">
        <v>45</v>
      </c>
      <c r="C115" s="12">
        <v>43044</v>
      </c>
      <c r="D115" s="5" t="str">
        <f>TEXT(Table1[[#This Row],[MVPI EXPIRE DATE HIGRI]],"b1mm/dd/yyyy")</f>
        <v>11/05/2017</v>
      </c>
      <c r="E115" s="16">
        <v>43783</v>
      </c>
      <c r="F115" s="5" t="str">
        <f>TEXT(Table1[[#This Row],[ESTMARA EXPIRE DATE HIGRI]],"b1mm/dd/yyyy")</f>
        <v>11/14/2019</v>
      </c>
    </row>
    <row r="116" spans="1:6" ht="19.95" customHeight="1" x14ac:dyDescent="0.65">
      <c r="A116" s="4">
        <v>115</v>
      </c>
      <c r="B116" s="4" t="s">
        <v>46</v>
      </c>
      <c r="C116" s="12">
        <v>43461</v>
      </c>
      <c r="D116" s="5" t="str">
        <f>TEXT(Table1[[#This Row],[MVPI EXPIRE DATE HIGRI]],"b1mm/dd/yyyy")</f>
        <v>12/27/2018</v>
      </c>
      <c r="E116" s="16">
        <v>43804</v>
      </c>
      <c r="F116" s="5" t="str">
        <f>TEXT(Table1[[#This Row],[ESTMARA EXPIRE DATE HIGRI]],"b1mm/dd/yyyy")</f>
        <v>12/05/2019</v>
      </c>
    </row>
    <row r="117" spans="1:6" ht="19.95" customHeight="1" x14ac:dyDescent="0.65">
      <c r="A117" s="4">
        <v>116</v>
      </c>
      <c r="B117" s="4" t="s">
        <v>47</v>
      </c>
      <c r="C117" s="12">
        <v>43563</v>
      </c>
      <c r="D117" s="5" t="str">
        <f>TEXT(Table1[[#This Row],[MVPI EXPIRE DATE HIGRI]],"b1mm/dd/yyyy")</f>
        <v>04/08/2019</v>
      </c>
      <c r="E117" s="16">
        <v>43809</v>
      </c>
      <c r="F117" s="5" t="str">
        <f>TEXT(Table1[[#This Row],[ESTMARA EXPIRE DATE HIGRI]],"b1mm/dd/yyyy")</f>
        <v>12/10/2019</v>
      </c>
    </row>
    <row r="118" spans="1:6" ht="19.95" customHeight="1" x14ac:dyDescent="0.65">
      <c r="A118" s="4">
        <v>117</v>
      </c>
      <c r="B118" s="7" t="s">
        <v>11</v>
      </c>
      <c r="C118" s="11">
        <v>44080</v>
      </c>
      <c r="D118" s="5" t="str">
        <f>TEXT(Table1[[#This Row],[MVPI EXPIRE DATE HIGRI]],"b1mm/dd/yyyy")</f>
        <v>09/06/2020</v>
      </c>
      <c r="E118" s="15">
        <v>44383</v>
      </c>
      <c r="F118" s="5" t="str">
        <f>TEXT(Table1[[#This Row],[ESTMARA EXPIRE DATE HIGRI]],"b1mm/dd/yyyy")</f>
        <v>07/06/2021</v>
      </c>
    </row>
  </sheetData>
  <pageMargins left="0.5" right="0.38" top="0" bottom="0.28999999999999998" header="0" footer="0"/>
  <pageSetup scale="56" fitToHeight="0"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WarezBB</dc:creator>
  <cp:lastModifiedBy>Eng-Hossam</cp:lastModifiedBy>
  <cp:lastPrinted>2020-03-15T04:28:22Z</cp:lastPrinted>
  <dcterms:created xsi:type="dcterms:W3CDTF">2014-08-20T08:10:11Z</dcterms:created>
  <dcterms:modified xsi:type="dcterms:W3CDTF">2020-03-25T07:10:07Z</dcterms:modified>
</cp:coreProperties>
</file>